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6675" windowHeight="6990" activeTab="1"/>
  </bookViews>
  <sheets>
    <sheet name="Qtd_minima" sheetId="3" r:id="rId1"/>
    <sheet name="Circuitos" sheetId="7" r:id="rId2"/>
  </sheets>
  <definedNames>
    <definedName name="_xlnm.Print_Titles" localSheetId="0">Qtd_minima!$1:$3</definedName>
  </definedNames>
  <calcPr calcId="144525" iterateDelta="1E-4"/>
</workbook>
</file>

<file path=xl/calcChain.xml><?xml version="1.0" encoding="utf-8"?>
<calcChain xmlns="http://schemas.openxmlformats.org/spreadsheetml/2006/main">
  <c r="A9" i="7" l="1"/>
  <c r="A10" i="7" s="1"/>
  <c r="A8" i="7"/>
  <c r="G16" i="3" l="1"/>
  <c r="F16" i="3"/>
  <c r="D16" i="3"/>
  <c r="E16" i="3" l="1"/>
  <c r="C16" i="3"/>
  <c r="B16" i="3"/>
  <c r="H16" i="3" l="1"/>
  <c r="I16" i="3"/>
</calcChain>
</file>

<file path=xl/sharedStrings.xml><?xml version="1.0" encoding="utf-8"?>
<sst xmlns="http://schemas.openxmlformats.org/spreadsheetml/2006/main" count="94" uniqueCount="56">
  <si>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</si>
  <si>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</si>
  <si>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</si>
  <si>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</si>
  <si>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</si>
  <si>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</si>
  <si>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</si>
  <si>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</si>
  <si>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</si>
  <si>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</si>
  <si>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INSTALAÇÃO MÍNIMA</t>
  </si>
  <si>
    <t>Total</t>
  </si>
  <si>
    <t>WC</t>
  </si>
  <si>
    <t>Hall 1</t>
  </si>
  <si>
    <t>Hall 2</t>
  </si>
  <si>
    <t>-</t>
  </si>
  <si>
    <t>Dependencias</t>
  </si>
  <si>
    <t>TUE</t>
  </si>
  <si>
    <t>TUG</t>
  </si>
  <si>
    <t>Descrição</t>
  </si>
  <si>
    <t>Área (m2)</t>
  </si>
  <si>
    <t>CIRCUITOS DA INSTALAÇÃO</t>
  </si>
  <si>
    <t>A</t>
  </si>
  <si>
    <t>B</t>
  </si>
  <si>
    <t>C</t>
  </si>
  <si>
    <t>Secção</t>
  </si>
  <si>
    <t>Proteção</t>
  </si>
  <si>
    <t>Fase</t>
  </si>
  <si>
    <t>Nº do Circuito</t>
  </si>
  <si>
    <t>Pontos de Luz</t>
  </si>
  <si>
    <t>Quant</t>
  </si>
  <si>
    <t>P (W)</t>
  </si>
  <si>
    <t>Salão de festa</t>
  </si>
  <si>
    <t>Depósito</t>
  </si>
  <si>
    <t>Medição</t>
  </si>
  <si>
    <t>Vestiário</t>
  </si>
  <si>
    <t>Portaria</t>
  </si>
  <si>
    <t>Copa</t>
  </si>
  <si>
    <t>WC Masc</t>
  </si>
  <si>
    <t>WC Fem</t>
  </si>
  <si>
    <t>Extra</t>
  </si>
  <si>
    <t>Sombra do apto</t>
  </si>
  <si>
    <t>10 Unipolar</t>
  </si>
  <si>
    <t>Balanceamento das Fases</t>
  </si>
  <si>
    <t>2276W</t>
  </si>
  <si>
    <t>2260W</t>
  </si>
  <si>
    <t>2400W</t>
  </si>
  <si>
    <r>
      <rPr>
        <b/>
        <sz val="11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(Salão de Festa, depósito, WC Fem e WC Masc)</t>
    </r>
  </si>
  <si>
    <r>
      <rPr>
        <b/>
        <sz val="11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(Medição, vestiário, portária, Hall 1, Hall 2, copa, WC e sombra)</t>
    </r>
  </si>
  <si>
    <r>
      <rPr>
        <b/>
        <sz val="11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Festa, WC Fem e WC Masc)</t>
    </r>
  </si>
  <si>
    <r>
      <rPr>
        <b/>
        <sz val="11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Festa)</t>
    </r>
  </si>
  <si>
    <r>
      <rPr>
        <b/>
        <sz val="11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(Depósito, medição, vestiário, copa e WC)</t>
    </r>
  </si>
  <si>
    <r>
      <rPr>
        <b/>
        <sz val="11"/>
        <rFont val="Calibri"/>
        <family val="2"/>
        <scheme val="minor"/>
      </rPr>
      <t>TUE</t>
    </r>
    <r>
      <rPr>
        <sz val="11"/>
        <color theme="1"/>
        <rFont val="Calibri"/>
        <family val="2"/>
        <scheme val="minor"/>
      </rPr>
      <t>(Ar condicionados)</t>
    </r>
  </si>
  <si>
    <r>
      <rPr>
        <b/>
        <sz val="11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(Portaria, Hall1, Hall2, sombra)</t>
    </r>
  </si>
  <si>
    <t>15 Unipolar</t>
  </si>
  <si>
    <t>Corrente 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</si>
</sst>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1"/>
      <color theme="1"/>
      <name val="Calibri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3" borderId="7" applyNumberFormat="0" applyFont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5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3" borderId="1" xfId="1" applyFont="1" applyBorder="1" applyAlignment="1">
      <alignment horizontal="center" wrapText="1"/>
    </xf>
    <xf numFmtId="0" fontId="3" fillId="3" borderId="5" xfId="1" applyFont="1" applyBorder="1" applyAlignment="1">
      <alignment wrapText="1"/>
    </xf>
    <xf numFmtId="0" fontId="0" fillId="5" borderId="5" xfId="0" applyFill="1" applyBorder="1" applyAlignment="1">
      <alignment horizontal="center"/>
    </xf>
    <xf numFmtId="0" fontId="8" fillId="3" borderId="5" xfId="1" applyFont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8" fillId="3" borderId="5" xfId="1" applyNumberFormat="1" applyFont="1" applyBorder="1" applyAlignment="1">
      <alignment horizontal="center" wrapText="1"/>
    </xf>
    <xf numFmtId="2" fontId="0" fillId="3" borderId="1" xfId="1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2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2" borderId="0" xfId="0" applyFill="1" applyBorder="1" applyAlignment="1"/>
    <xf numFmtId="0" fontId="0" fillId="3" borderId="1" xfId="1" applyNumberFormat="1" applyFont="1" applyBorder="1" applyAlignment="1">
      <alignment horizontal="center" wrapText="1"/>
    </xf>
    <xf numFmtId="2" fontId="0" fillId="3" borderId="1" xfId="1" applyNumberFormat="1" applyFont="1" applyBorder="1" applyAlignment="1">
      <alignment horizontal="center" vertical="center" wrapText="1"/>
    </xf>
    <xf numFmtId="0" fontId="0" fillId="3" borderId="5" xfId="1" applyNumberFormat="1" applyFont="1" applyBorder="1" applyAlignment="1">
      <alignment horizontal="center" wrapText="1"/>
    </xf>
    <xf numFmtId="0" fontId="0" fillId="3" borderId="5" xfId="1" applyFont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3" borderId="5" xfId="1" applyNumberFormat="1" applyFont="1" applyBorder="1" applyAlignment="1">
      <alignment horizontal="center" wrapText="1"/>
    </xf>
    <xf numFmtId="0" fontId="2" fillId="3" borderId="1" xfId="1" applyFont="1" applyBorder="1" applyAlignment="1">
      <alignment wrapText="1"/>
    </xf>
    <xf numFmtId="0" fontId="2" fillId="3" borderId="1" xfId="1" applyFont="1" applyBorder="1" applyAlignment="1">
      <alignment vertical="center" wrapText="1"/>
    </xf>
    <xf numFmtId="0" fontId="2" fillId="3" borderId="5" xfId="1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zoomScale="115" zoomScaleNormal="115" workbookViewId="0">
      <pane ySplit="3" topLeftCell="A4" activePane="bottomLeft" state="frozen"/>
      <selection pane="bottomLeft" activeCell="C18" sqref="C18"/>
    </sheetView>
  </sheetViews>
  <sheetFormatPr defaultColWidth="9.140625" defaultRowHeight="15"/>
  <cols>
    <col min="1" max="1" width="20.7109375" style="2" customWidth="1"/>
    <col min="2" max="2" width="9.85546875" style="2" bestFit="1" customWidth="1"/>
    <col min="3" max="3" width="13.140625" style="2" customWidth="1"/>
    <col min="4" max="4" width="5.7109375" style="1" customWidth="1"/>
    <col min="5" max="5" width="13.28515625" style="1" bestFit="1" customWidth="1"/>
    <col min="6" max="6" width="5.7109375" style="1" customWidth="1"/>
    <col min="7" max="7" width="12.7109375" style="1" bestFit="1" customWidth="1"/>
    <col min="8" max="8" width="5.7109375" style="1" customWidth="1"/>
    <col min="9" max="9" width="12" style="1" bestFit="1" customWidth="1"/>
    <col min="10" max="10" width="23.7109375" style="3" bestFit="1" customWidth="1"/>
    <col min="11" max="16384" width="9.140625" style="2"/>
  </cols>
  <sheetData>
    <row r="1" spans="1:10" ht="30.75" customHeight="1">
      <c r="A1" s="48" t="s">
        <v>10</v>
      </c>
      <c r="B1" s="49"/>
      <c r="C1" s="49"/>
      <c r="D1" s="49"/>
      <c r="E1" s="49"/>
      <c r="F1" s="49"/>
      <c r="G1" s="49"/>
      <c r="H1" s="49"/>
      <c r="I1" s="49"/>
      <c r="J1" s="50"/>
    </row>
    <row r="2" spans="1:10">
      <c r="A2" s="46" t="s">
        <v>16</v>
      </c>
      <c r="B2" s="51" t="s">
        <v>1</v>
      </c>
      <c r="C2" s="52"/>
      <c r="D2" s="53" t="s">
        <v>2</v>
      </c>
      <c r="E2" s="53"/>
      <c r="F2" s="53" t="s">
        <v>5</v>
      </c>
      <c r="G2" s="53"/>
      <c r="H2" s="53" t="s">
        <v>7</v>
      </c>
      <c r="I2" s="53"/>
      <c r="J2" s="53" t="s">
        <v>0</v>
      </c>
    </row>
    <row r="3" spans="1:10">
      <c r="A3" s="47"/>
      <c r="B3" s="9" t="s">
        <v>20</v>
      </c>
      <c r="C3" s="9" t="s">
        <v>9</v>
      </c>
      <c r="D3" s="9" t="s">
        <v>3</v>
      </c>
      <c r="E3" s="9" t="s">
        <v>4</v>
      </c>
      <c r="F3" s="9" t="s">
        <v>3</v>
      </c>
      <c r="G3" s="9" t="s">
        <v>6</v>
      </c>
      <c r="H3" s="8" t="s">
        <v>3</v>
      </c>
      <c r="I3" s="8" t="s">
        <v>8</v>
      </c>
      <c r="J3" s="53"/>
    </row>
    <row r="4" spans="1:10">
      <c r="A4" s="38" t="s">
        <v>32</v>
      </c>
      <c r="B4" s="31">
        <v>66.58</v>
      </c>
      <c r="C4" s="24">
        <v>39.6</v>
      </c>
      <c r="D4" s="16">
        <v>6</v>
      </c>
      <c r="E4" s="16">
        <v>1000</v>
      </c>
      <c r="F4" s="16">
        <v>8</v>
      </c>
      <c r="G4" s="16">
        <v>800</v>
      </c>
      <c r="H4" s="10">
        <v>2</v>
      </c>
      <c r="I4" s="4">
        <v>2400</v>
      </c>
      <c r="J4" s="12" t="s">
        <v>40</v>
      </c>
    </row>
    <row r="5" spans="1:10">
      <c r="A5" s="38" t="s">
        <v>33</v>
      </c>
      <c r="B5" s="31">
        <v>8.07</v>
      </c>
      <c r="C5" s="24">
        <v>11.8</v>
      </c>
      <c r="D5" s="16">
        <v>1</v>
      </c>
      <c r="E5" s="16">
        <v>100</v>
      </c>
      <c r="F5" s="16">
        <v>2</v>
      </c>
      <c r="G5" s="16">
        <v>200</v>
      </c>
      <c r="H5" s="10"/>
      <c r="I5" s="4"/>
      <c r="J5" s="11"/>
    </row>
    <row r="6" spans="1:10">
      <c r="A6" s="38" t="s">
        <v>34</v>
      </c>
      <c r="B6" s="31">
        <v>11.56</v>
      </c>
      <c r="C6" s="31">
        <v>14.56</v>
      </c>
      <c r="D6" s="16">
        <v>1</v>
      </c>
      <c r="E6" s="16">
        <v>160</v>
      </c>
      <c r="F6" s="16">
        <v>3</v>
      </c>
      <c r="G6" s="16">
        <v>300</v>
      </c>
      <c r="H6" s="10"/>
      <c r="I6" s="4"/>
      <c r="J6" s="12"/>
    </row>
    <row r="7" spans="1:10">
      <c r="A7" s="38" t="s">
        <v>35</v>
      </c>
      <c r="B7" s="31">
        <v>3.21</v>
      </c>
      <c r="C7" s="31">
        <v>7.54</v>
      </c>
      <c r="D7" s="16">
        <v>1</v>
      </c>
      <c r="E7" s="16">
        <v>100</v>
      </c>
      <c r="F7" s="16">
        <v>1</v>
      </c>
      <c r="G7" s="16">
        <v>100</v>
      </c>
      <c r="H7" s="10"/>
      <c r="I7" s="4"/>
      <c r="J7" s="11"/>
    </row>
    <row r="8" spans="1:10">
      <c r="A8" s="38" t="s">
        <v>36</v>
      </c>
      <c r="B8" s="31">
        <v>3.17</v>
      </c>
      <c r="C8" s="31">
        <v>8.24</v>
      </c>
      <c r="D8" s="16">
        <v>1</v>
      </c>
      <c r="E8" s="16">
        <v>100</v>
      </c>
      <c r="F8" s="16">
        <v>1</v>
      </c>
      <c r="G8" s="16">
        <v>100</v>
      </c>
      <c r="H8" s="10"/>
      <c r="I8" s="4"/>
      <c r="J8" s="11"/>
    </row>
    <row r="9" spans="1:10">
      <c r="A9" s="38" t="s">
        <v>13</v>
      </c>
      <c r="B9" s="31">
        <v>12.61</v>
      </c>
      <c r="C9" s="31">
        <v>18.68</v>
      </c>
      <c r="D9" s="16">
        <v>2</v>
      </c>
      <c r="E9" s="16">
        <v>160</v>
      </c>
      <c r="F9" s="16">
        <v>4</v>
      </c>
      <c r="G9" s="16">
        <v>400</v>
      </c>
      <c r="H9" s="10"/>
      <c r="I9" s="4"/>
      <c r="J9" s="12"/>
    </row>
    <row r="10" spans="1:10">
      <c r="A10" s="38" t="s">
        <v>14</v>
      </c>
      <c r="B10" s="31">
        <v>3.45</v>
      </c>
      <c r="C10" s="24">
        <v>8.1</v>
      </c>
      <c r="D10" s="16">
        <v>1</v>
      </c>
      <c r="E10" s="16">
        <v>100</v>
      </c>
      <c r="F10" s="16">
        <v>1</v>
      </c>
      <c r="G10" s="16">
        <v>100</v>
      </c>
      <c r="H10" s="13"/>
      <c r="I10" s="14"/>
      <c r="J10" s="11"/>
    </row>
    <row r="11" spans="1:10">
      <c r="A11" s="38" t="s">
        <v>37</v>
      </c>
      <c r="B11" s="31">
        <v>1.95</v>
      </c>
      <c r="C11" s="24">
        <v>5.6</v>
      </c>
      <c r="D11" s="16">
        <v>1</v>
      </c>
      <c r="E11" s="16">
        <v>100</v>
      </c>
      <c r="F11" s="16">
        <v>1</v>
      </c>
      <c r="G11" s="16">
        <v>100</v>
      </c>
      <c r="H11" s="10"/>
      <c r="I11" s="4"/>
      <c r="J11" s="11"/>
    </row>
    <row r="12" spans="1:10">
      <c r="A12" s="38" t="s">
        <v>38</v>
      </c>
      <c r="B12" s="31">
        <v>4.24</v>
      </c>
      <c r="C12" s="31">
        <v>10.28</v>
      </c>
      <c r="D12" s="16">
        <v>1</v>
      </c>
      <c r="E12" s="16">
        <v>100</v>
      </c>
      <c r="F12" s="16">
        <v>1</v>
      </c>
      <c r="G12" s="16">
        <v>100</v>
      </c>
      <c r="H12" s="13"/>
      <c r="I12" s="14"/>
      <c r="J12" s="11"/>
    </row>
    <row r="13" spans="1:10">
      <c r="A13" s="39" t="s">
        <v>39</v>
      </c>
      <c r="B13" s="32">
        <v>4.2</v>
      </c>
      <c r="C13" s="31">
        <v>9.15</v>
      </c>
      <c r="D13" s="16">
        <v>1</v>
      </c>
      <c r="E13" s="16">
        <v>100</v>
      </c>
      <c r="F13" s="16">
        <v>1</v>
      </c>
      <c r="G13" s="16">
        <v>100</v>
      </c>
      <c r="H13" s="13"/>
      <c r="I13" s="14"/>
      <c r="J13" s="12"/>
    </row>
    <row r="14" spans="1:10">
      <c r="A14" s="39" t="s">
        <v>12</v>
      </c>
      <c r="B14" s="31">
        <v>1.41</v>
      </c>
      <c r="C14" s="24">
        <v>5</v>
      </c>
      <c r="D14" s="16">
        <v>1</v>
      </c>
      <c r="E14" s="16">
        <v>100</v>
      </c>
      <c r="F14" s="16">
        <v>1</v>
      </c>
      <c r="G14" s="16">
        <v>100</v>
      </c>
      <c r="H14" s="10"/>
      <c r="I14" s="4"/>
      <c r="J14" s="12"/>
    </row>
    <row r="15" spans="1:10">
      <c r="A15" s="40" t="s">
        <v>41</v>
      </c>
      <c r="B15" s="33">
        <v>27.59</v>
      </c>
      <c r="C15" s="37">
        <v>25.18</v>
      </c>
      <c r="D15" s="34">
        <v>2</v>
      </c>
      <c r="E15" s="34">
        <v>400</v>
      </c>
      <c r="F15" s="34">
        <v>2</v>
      </c>
      <c r="G15" s="34">
        <v>200</v>
      </c>
      <c r="H15" s="35"/>
      <c r="I15" s="36"/>
      <c r="J15" s="18"/>
    </row>
    <row r="16" spans="1:10">
      <c r="A16" s="17" t="s">
        <v>11</v>
      </c>
      <c r="B16" s="23">
        <f t="shared" ref="B16:G16" si="0">SUM(B4:B15)</f>
        <v>148.04</v>
      </c>
      <c r="C16" s="23">
        <f t="shared" si="0"/>
        <v>163.73000000000002</v>
      </c>
      <c r="D16" s="19">
        <f t="shared" si="0"/>
        <v>19</v>
      </c>
      <c r="E16" s="19">
        <f t="shared" si="0"/>
        <v>2520</v>
      </c>
      <c r="F16" s="19">
        <f t="shared" si="0"/>
        <v>26</v>
      </c>
      <c r="G16" s="19">
        <f t="shared" si="0"/>
        <v>2600</v>
      </c>
      <c r="H16" s="20">
        <f>SUM(H4:H14)</f>
        <v>2</v>
      </c>
      <c r="I16" s="21">
        <f>SUM(I4:I14)</f>
        <v>2400</v>
      </c>
      <c r="J16" s="18" t="s">
        <v>15</v>
      </c>
    </row>
    <row r="17" spans="4:10">
      <c r="D17" s="5"/>
      <c r="E17" s="5"/>
      <c r="F17" s="7"/>
      <c r="G17" s="7"/>
      <c r="H17" s="5"/>
      <c r="I17" s="5"/>
      <c r="J17" s="15"/>
    </row>
    <row r="18" spans="4:10">
      <c r="D18" s="6"/>
      <c r="E18" s="6"/>
      <c r="F18" s="5"/>
      <c r="G18" s="5"/>
      <c r="H18" s="5"/>
      <c r="I18" s="5"/>
      <c r="J18" s="15"/>
    </row>
    <row r="19" spans="4:10">
      <c r="D19" s="6"/>
      <c r="E19" s="6"/>
      <c r="F19" s="5"/>
      <c r="G19" s="5"/>
      <c r="H19" s="5"/>
      <c r="I19" s="5"/>
      <c r="J19" s="15"/>
    </row>
    <row r="20" spans="4:10">
      <c r="D20" s="6"/>
      <c r="E20" s="5"/>
      <c r="F20" s="5"/>
      <c r="G20" s="5"/>
      <c r="H20" s="6"/>
      <c r="I20" s="6"/>
      <c r="J20" s="15"/>
    </row>
    <row r="21" spans="4:10">
      <c r="D21" s="5"/>
      <c r="E21" s="5"/>
      <c r="F21" s="5"/>
      <c r="G21" s="5"/>
      <c r="H21" s="6"/>
      <c r="I21" s="6"/>
      <c r="J21" s="15"/>
    </row>
    <row r="22" spans="4:10">
      <c r="D22" s="5"/>
      <c r="E22" s="5"/>
      <c r="F22" s="6"/>
      <c r="G22" s="6"/>
      <c r="H22" s="5"/>
      <c r="I22" s="6"/>
      <c r="J22" s="15"/>
    </row>
    <row r="23" spans="4:10">
      <c r="D23" s="5"/>
      <c r="E23" s="5"/>
      <c r="F23" s="5"/>
      <c r="G23" s="5"/>
      <c r="H23" s="5"/>
      <c r="I23" s="6"/>
      <c r="J23" s="15"/>
    </row>
    <row r="24" spans="4:10">
      <c r="D24" s="5"/>
      <c r="E24" s="5"/>
      <c r="F24" s="5"/>
      <c r="G24" s="5"/>
      <c r="H24" s="5"/>
      <c r="I24" s="5"/>
      <c r="J24" s="15"/>
    </row>
    <row r="25" spans="4:10">
      <c r="D25" s="5"/>
      <c r="E25" s="5"/>
      <c r="F25" s="5"/>
      <c r="G25" s="5"/>
      <c r="H25" s="5"/>
      <c r="I25" s="5"/>
      <c r="J25" s="15"/>
    </row>
    <row r="26" spans="4:10">
      <c r="D26" s="5"/>
      <c r="E26" s="5"/>
      <c r="F26" s="5"/>
      <c r="G26" s="5"/>
      <c r="H26" s="5"/>
      <c r="I26" s="5"/>
      <c r="J26" s="15"/>
    </row>
    <row r="27" spans="4:10">
      <c r="D27" s="5"/>
      <c r="E27" s="5"/>
      <c r="F27" s="6"/>
      <c r="G27" s="6"/>
      <c r="H27" s="5"/>
      <c r="I27" s="5"/>
      <c r="J27" s="15"/>
    </row>
    <row r="28" spans="4:10">
      <c r="D28" s="5"/>
      <c r="E28" s="5"/>
      <c r="F28" s="6"/>
      <c r="G28" s="6"/>
      <c r="H28" s="5"/>
      <c r="I28" s="5"/>
      <c r="J28" s="15"/>
    </row>
    <row r="29" spans="4:10">
      <c r="D29" s="5"/>
      <c r="E29" s="5"/>
      <c r="F29" s="5"/>
      <c r="G29" s="5"/>
      <c r="H29" s="5"/>
      <c r="I29" s="5"/>
      <c r="J29" s="15"/>
    </row>
    <row r="30" spans="4:10">
      <c r="D30" s="5"/>
      <c r="E30" s="5"/>
      <c r="F30" s="5"/>
      <c r="G30" s="5"/>
      <c r="H30" s="5"/>
      <c r="I30" s="5"/>
      <c r="J30" s="15"/>
    </row>
    <row r="31" spans="4:10">
      <c r="D31" s="5"/>
      <c r="E31" s="5"/>
      <c r="F31" s="5"/>
      <c r="G31" s="5"/>
      <c r="H31" s="5"/>
      <c r="I31" s="5"/>
      <c r="J31" s="15"/>
    </row>
    <row r="32" spans="4:10">
      <c r="F32" s="5"/>
      <c r="G32" s="5"/>
      <c r="H32" s="5"/>
      <c r="I32" s="5"/>
      <c r="J32" s="15"/>
    </row>
    <row r="33" spans="6:10">
      <c r="F33" s="5"/>
      <c r="G33" s="5"/>
      <c r="H33" s="5"/>
      <c r="I33" s="5"/>
      <c r="J33" s="15"/>
    </row>
    <row r="34" spans="6:10">
      <c r="H34" s="5"/>
      <c r="I34" s="5"/>
      <c r="J34" s="15"/>
    </row>
  </sheetData>
  <mergeCells count="7">
    <mergeCell ref="A2:A3"/>
    <mergeCell ref="A1:J1"/>
    <mergeCell ref="B2:C2"/>
    <mergeCell ref="J2:J3"/>
    <mergeCell ref="D2:E2"/>
    <mergeCell ref="F2:G2"/>
    <mergeCell ref="H2:I2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pane ySplit="2" topLeftCell="A3" activePane="bottomLeft" state="frozen"/>
      <selection pane="bottomLeft" activeCell="C2" sqref="C2:C3"/>
    </sheetView>
  </sheetViews>
  <sheetFormatPr defaultColWidth="9.140625" defaultRowHeight="15"/>
  <cols>
    <col min="1" max="1" width="8.28515625" style="22" customWidth="1"/>
    <col min="2" max="2" width="7" style="22" bestFit="1" customWidth="1"/>
    <col min="3" max="3" width="9.5703125" style="22" customWidth="1"/>
    <col min="4" max="4" width="7.7109375" style="22" customWidth="1"/>
    <col min="5" max="5" width="9.28515625" style="22" customWidth="1"/>
    <col min="6" max="6" width="7.7109375" style="22" customWidth="1"/>
    <col min="7" max="8" width="9.42578125" style="22" customWidth="1"/>
    <col min="9" max="9" width="14.7109375" style="22" customWidth="1"/>
    <col min="10" max="10" width="8.85546875" style="22" customWidth="1"/>
    <col min="11" max="11" width="61.85546875" style="22" bestFit="1" customWidth="1"/>
    <col min="12" max="16384" width="9.140625" style="26"/>
  </cols>
  <sheetData>
    <row r="1" spans="1:14" ht="30.75" customHeight="1">
      <c r="A1" s="58" t="s">
        <v>21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57"/>
      <c r="M1" s="57"/>
      <c r="N1" s="57"/>
    </row>
    <row r="2" spans="1:14" ht="20.25" customHeight="1">
      <c r="A2" s="60" t="s">
        <v>28</v>
      </c>
      <c r="B2" s="53" t="s">
        <v>25</v>
      </c>
      <c r="C2" s="60" t="s">
        <v>55</v>
      </c>
      <c r="D2" s="53" t="s">
        <v>29</v>
      </c>
      <c r="E2" s="53"/>
      <c r="F2" s="53" t="s">
        <v>18</v>
      </c>
      <c r="G2" s="53"/>
      <c r="H2" s="25" t="s">
        <v>17</v>
      </c>
      <c r="I2" s="53" t="s">
        <v>26</v>
      </c>
      <c r="J2" s="53" t="s">
        <v>27</v>
      </c>
      <c r="K2" s="51" t="s">
        <v>19</v>
      </c>
      <c r="L2" s="57"/>
      <c r="M2" s="57"/>
      <c r="N2" s="57"/>
    </row>
    <row r="3" spans="1:14" ht="27" customHeight="1">
      <c r="A3" s="60"/>
      <c r="B3" s="53"/>
      <c r="C3" s="60"/>
      <c r="D3" s="28" t="s">
        <v>30</v>
      </c>
      <c r="E3" s="25" t="s">
        <v>31</v>
      </c>
      <c r="F3" s="25" t="s">
        <v>30</v>
      </c>
      <c r="G3" s="25" t="s">
        <v>31</v>
      </c>
      <c r="H3" s="25" t="s">
        <v>31</v>
      </c>
      <c r="I3" s="53"/>
      <c r="J3" s="53"/>
      <c r="K3" s="51"/>
      <c r="L3" s="44"/>
      <c r="M3" s="44"/>
      <c r="N3" s="44"/>
    </row>
    <row r="4" spans="1:14" ht="22.5" customHeight="1">
      <c r="A4" s="27">
        <v>1</v>
      </c>
      <c r="B4" s="41">
        <v>1.5</v>
      </c>
      <c r="C4" s="1">
        <v>15</v>
      </c>
      <c r="D4" s="1">
        <v>9</v>
      </c>
      <c r="E4" s="1">
        <v>1300</v>
      </c>
      <c r="F4" s="1" t="s">
        <v>15</v>
      </c>
      <c r="G4" s="1" t="s">
        <v>15</v>
      </c>
      <c r="H4" s="1" t="s">
        <v>15</v>
      </c>
      <c r="I4" s="1" t="s">
        <v>42</v>
      </c>
      <c r="J4" s="1" t="s">
        <v>22</v>
      </c>
      <c r="K4" t="s">
        <v>47</v>
      </c>
      <c r="L4" s="45"/>
      <c r="M4" s="45"/>
      <c r="N4" s="45"/>
    </row>
    <row r="5" spans="1:14">
      <c r="A5" s="27">
        <v>2</v>
      </c>
      <c r="B5" s="41">
        <v>1.5</v>
      </c>
      <c r="C5" s="1">
        <v>15</v>
      </c>
      <c r="D5" s="1">
        <v>10</v>
      </c>
      <c r="E5" s="1">
        <v>1220</v>
      </c>
      <c r="F5" s="1" t="s">
        <v>15</v>
      </c>
      <c r="G5" s="1" t="s">
        <v>15</v>
      </c>
      <c r="H5" s="1" t="s">
        <v>15</v>
      </c>
      <c r="I5" s="1" t="s">
        <v>42</v>
      </c>
      <c r="J5" s="1" t="s">
        <v>23</v>
      </c>
      <c r="K5" t="s">
        <v>48</v>
      </c>
      <c r="L5" s="30"/>
      <c r="M5" s="30"/>
      <c r="N5" s="30"/>
    </row>
    <row r="6" spans="1:14">
      <c r="A6" s="27">
        <v>3</v>
      </c>
      <c r="B6" s="1">
        <v>2.5</v>
      </c>
      <c r="C6" s="1">
        <v>20</v>
      </c>
      <c r="D6" s="1" t="s">
        <v>15</v>
      </c>
      <c r="E6" s="1" t="s">
        <v>15</v>
      </c>
      <c r="F6" s="1">
        <v>5</v>
      </c>
      <c r="G6" s="1">
        <v>400</v>
      </c>
      <c r="H6" s="1" t="s">
        <v>15</v>
      </c>
      <c r="I6" s="1" t="s">
        <v>54</v>
      </c>
      <c r="J6" s="1" t="s">
        <v>22</v>
      </c>
      <c r="K6" t="s">
        <v>49</v>
      </c>
      <c r="L6" s="30"/>
      <c r="M6" s="30"/>
      <c r="N6" s="30"/>
    </row>
    <row r="7" spans="1:14">
      <c r="A7" s="27">
        <v>4</v>
      </c>
      <c r="B7" s="1">
        <v>2.5</v>
      </c>
      <c r="C7" s="1">
        <v>20</v>
      </c>
      <c r="D7" s="1" t="s">
        <v>15</v>
      </c>
      <c r="E7" s="1" t="s">
        <v>15</v>
      </c>
      <c r="F7" s="1">
        <v>5</v>
      </c>
      <c r="G7" s="1">
        <v>400</v>
      </c>
      <c r="H7" s="1"/>
      <c r="I7" s="1" t="s">
        <v>54</v>
      </c>
      <c r="J7" s="1" t="s">
        <v>23</v>
      </c>
      <c r="K7" t="s">
        <v>50</v>
      </c>
      <c r="L7" s="30"/>
      <c r="M7" s="30"/>
      <c r="N7" s="30"/>
    </row>
    <row r="8" spans="1:14">
      <c r="A8" s="27">
        <f>A7+1</f>
        <v>5</v>
      </c>
      <c r="B8" s="1">
        <v>2.5</v>
      </c>
      <c r="C8" s="1">
        <v>20</v>
      </c>
      <c r="D8" s="1" t="s">
        <v>15</v>
      </c>
      <c r="E8" s="1" t="s">
        <v>15</v>
      </c>
      <c r="F8" s="1">
        <v>8</v>
      </c>
      <c r="G8" s="1">
        <v>640</v>
      </c>
      <c r="H8" s="1" t="s">
        <v>15</v>
      </c>
      <c r="I8" s="1" t="s">
        <v>54</v>
      </c>
      <c r="J8" s="1" t="s">
        <v>23</v>
      </c>
      <c r="K8" t="s">
        <v>51</v>
      </c>
      <c r="L8" s="30"/>
      <c r="M8" s="30"/>
      <c r="N8" s="30"/>
    </row>
    <row r="9" spans="1:14">
      <c r="A9" s="27">
        <f t="shared" ref="A9:A10" si="0">A8+1</f>
        <v>6</v>
      </c>
      <c r="B9" s="1">
        <v>2.5</v>
      </c>
      <c r="C9" s="1">
        <v>20</v>
      </c>
      <c r="D9" s="1" t="s">
        <v>15</v>
      </c>
      <c r="E9" s="1" t="s">
        <v>15</v>
      </c>
      <c r="F9" s="1">
        <v>8</v>
      </c>
      <c r="G9" s="1">
        <v>576</v>
      </c>
      <c r="H9" s="1" t="s">
        <v>15</v>
      </c>
      <c r="I9" s="1" t="s">
        <v>54</v>
      </c>
      <c r="J9" s="1" t="s">
        <v>22</v>
      </c>
      <c r="K9" t="s">
        <v>53</v>
      </c>
    </row>
    <row r="10" spans="1:14">
      <c r="A10" s="27">
        <f t="shared" si="0"/>
        <v>7</v>
      </c>
      <c r="B10" s="1">
        <v>2.5</v>
      </c>
      <c r="C10" s="1">
        <v>20</v>
      </c>
      <c r="D10" s="1" t="s">
        <v>15</v>
      </c>
      <c r="E10" s="1" t="s">
        <v>15</v>
      </c>
      <c r="F10" s="1" t="s">
        <v>15</v>
      </c>
      <c r="G10" s="1" t="s">
        <v>15</v>
      </c>
      <c r="H10" s="1">
        <v>2400</v>
      </c>
      <c r="I10" s="1" t="s">
        <v>54</v>
      </c>
      <c r="J10" s="1" t="s">
        <v>24</v>
      </c>
      <c r="K10" t="s">
        <v>52</v>
      </c>
    </row>
    <row r="11" spans="1:14" ht="14.25" customHeight="1">
      <c r="A11" s="27"/>
      <c r="B11" s="1"/>
      <c r="C11"/>
      <c r="D11"/>
      <c r="E11"/>
      <c r="F11"/>
      <c r="G11"/>
      <c r="H11"/>
      <c r="I11"/>
      <c r="J11" s="1"/>
      <c r="K11"/>
    </row>
    <row r="12" spans="1:14">
      <c r="A12" s="42"/>
      <c r="B12" s="1"/>
      <c r="C12"/>
      <c r="D12"/>
      <c r="E12"/>
      <c r="F12"/>
      <c r="G12"/>
      <c r="H12"/>
      <c r="I12"/>
      <c r="J12" s="1"/>
      <c r="K12"/>
    </row>
    <row r="13" spans="1:14">
      <c r="A13" s="42"/>
      <c r="B13" s="1"/>
      <c r="C13" s="54" t="s">
        <v>43</v>
      </c>
      <c r="D13" s="54"/>
      <c r="E13" s="54"/>
      <c r="F13"/>
      <c r="G13"/>
      <c r="H13"/>
      <c r="I13"/>
      <c r="J13" s="1"/>
      <c r="K13"/>
    </row>
    <row r="14" spans="1:14">
      <c r="A14"/>
      <c r="B14"/>
      <c r="C14" s="43" t="s">
        <v>22</v>
      </c>
      <c r="D14" s="55" t="s">
        <v>44</v>
      </c>
      <c r="E14" s="55"/>
      <c r="F14"/>
      <c r="G14"/>
      <c r="H14"/>
      <c r="I14"/>
      <c r="J14"/>
      <c r="K14"/>
    </row>
    <row r="15" spans="1:14">
      <c r="A15"/>
      <c r="B15"/>
      <c r="C15" s="43" t="s">
        <v>23</v>
      </c>
      <c r="D15" s="55" t="s">
        <v>45</v>
      </c>
      <c r="E15" s="55"/>
      <c r="F15"/>
      <c r="G15"/>
      <c r="H15"/>
      <c r="I15"/>
      <c r="J15"/>
      <c r="K15"/>
    </row>
    <row r="16" spans="1:14">
      <c r="A16"/>
      <c r="B16"/>
      <c r="C16" s="43" t="s">
        <v>24</v>
      </c>
      <c r="D16" s="56" t="s">
        <v>46</v>
      </c>
      <c r="E16" s="5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 s="27"/>
      <c r="J26" s="29"/>
    </row>
    <row r="27" spans="1:11">
      <c r="A27" s="27"/>
      <c r="J27" s="29"/>
    </row>
    <row r="28" spans="1:11">
      <c r="A28" s="27"/>
      <c r="J28" s="29"/>
    </row>
    <row r="29" spans="1:11">
      <c r="A29" s="27"/>
      <c r="J29" s="29"/>
    </row>
  </sheetData>
  <mergeCells count="14">
    <mergeCell ref="C13:E13"/>
    <mergeCell ref="D14:E14"/>
    <mergeCell ref="D15:E15"/>
    <mergeCell ref="D16:E16"/>
    <mergeCell ref="L1:N2"/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26:J29">
      <formula1>"A,B,C"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Qtd_minima!Titulos_de_impressao</vt:lpstr>
    </vt:vector>
  </TitlesOfParts>
  <Company>Cosern.net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lastPrinted>2014-04-13T19:26:33Z</cp:lastPrinted>
  <dcterms:created xsi:type="dcterms:W3CDTF">2014-03-20T15:42:00Z</dcterms:created>
  <dcterms:modified xsi:type="dcterms:W3CDTF">2015-06-03T21:45:56Z</dcterms:modified>
</cp:coreProperties>
</file>