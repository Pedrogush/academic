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eleneps\Desktop\"/>
    </mc:Choice>
  </mc:AlternateContent>
  <bookViews>
    <workbookView xWindow="240" yWindow="120" windowWidth="6675" windowHeight="6990" activeTab="1"/>
  </bookViews>
  <sheets>
    <sheet name="Dependencias" sheetId="1" r:id="rId1"/>
    <sheet name="Qtd_minima" sheetId="3" r:id="rId2"/>
  </sheets>
  <definedNames>
    <definedName name="_xlnm.Print_Titles" localSheetId="1">Qtd_minima!$1:$3</definedName>
  </definedNames>
  <calcPr calcId="152511"/>
</workbook>
</file>

<file path=xl/calcChain.xml><?xml version="1.0" encoding="utf-8"?>
<calcChain xmlns="http://schemas.openxmlformats.org/spreadsheetml/2006/main">
  <c r="H33" i="3" l="1"/>
  <c r="I33" i="3"/>
  <c r="G33" i="3" l="1"/>
  <c r="F33" i="3"/>
  <c r="D33" i="3"/>
  <c r="E33" i="3"/>
  <c r="C33" i="3" l="1"/>
  <c r="B33" i="3"/>
  <c r="C29" i="1" l="1"/>
  <c r="B29" i="1"/>
</calcChain>
</file>

<file path=xl/sharedStrings.xml><?xml version="1.0" encoding="utf-8"?>
<sst xmlns="http://schemas.openxmlformats.org/spreadsheetml/2006/main" count="128" uniqueCount="51">
  <si>
    <t>Dependência</t>
  </si>
  <si>
    <t>Área</t>
  </si>
  <si>
    <t>Perímetro</t>
  </si>
  <si>
    <t>Área (m²)</t>
  </si>
  <si>
    <t>Observação</t>
  </si>
  <si>
    <t>Dimensões</t>
  </si>
  <si>
    <t>Iluminação</t>
  </si>
  <si>
    <t>Qtd.</t>
  </si>
  <si>
    <t>Potência (VA)</t>
  </si>
  <si>
    <t>TUGs</t>
  </si>
  <si>
    <t>Potência(VA)</t>
  </si>
  <si>
    <t>TUEs</t>
  </si>
  <si>
    <t>Potência(W)</t>
  </si>
  <si>
    <t>Perímetro (m)</t>
  </si>
  <si>
    <t>DEPENDÊNCIAS DA INSTALAÇÃO</t>
  </si>
  <si>
    <t>INSTALAÇÃO MÍNIMA</t>
  </si>
  <si>
    <t>Escada</t>
  </si>
  <si>
    <t>BWC 2</t>
  </si>
  <si>
    <t>BWC 4</t>
  </si>
  <si>
    <t>Microondas</t>
  </si>
  <si>
    <t>Exaustor</t>
  </si>
  <si>
    <t>Total</t>
  </si>
  <si>
    <t>Cozinha</t>
  </si>
  <si>
    <t>Dormitório 1</t>
  </si>
  <si>
    <t>Dormitório 2</t>
  </si>
  <si>
    <t>Dormitório 4</t>
  </si>
  <si>
    <t>WC</t>
  </si>
  <si>
    <t>Vestir</t>
  </si>
  <si>
    <t>Terraço</t>
  </si>
  <si>
    <t>Estar</t>
  </si>
  <si>
    <t>Jantar</t>
  </si>
  <si>
    <t>Elevador 1</t>
  </si>
  <si>
    <t>Elevador 2</t>
  </si>
  <si>
    <t>Hall 1</t>
  </si>
  <si>
    <t>Hall 2</t>
  </si>
  <si>
    <t>Despensa</t>
  </si>
  <si>
    <t>Serviços</t>
  </si>
  <si>
    <t>Deposito</t>
  </si>
  <si>
    <t>BWC1</t>
  </si>
  <si>
    <t>Corredor 1</t>
  </si>
  <si>
    <t>Dormitorio 3</t>
  </si>
  <si>
    <t>BWC3</t>
  </si>
  <si>
    <t>Corredor 2</t>
  </si>
  <si>
    <t>Dependencia</t>
  </si>
  <si>
    <t>Ar Condicionado</t>
  </si>
  <si>
    <t>-</t>
  </si>
  <si>
    <t>Dependencias</t>
  </si>
  <si>
    <t>Chuveiro Elétrico</t>
  </si>
  <si>
    <t>Lavadora de Pratos</t>
  </si>
  <si>
    <t>Lavadora de Roupas</t>
  </si>
  <si>
    <t>Secadora de Roupas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</si>
</sst>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6"/>
      <name val="Calibri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4" borderId="8" applyNumberFormat="0" applyFont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8" xfId="1" applyFont="1" applyAlignment="1">
      <alignment wrapText="1"/>
    </xf>
    <xf numFmtId="0" fontId="0" fillId="4" borderId="8" xfId="1" applyFont="1" applyAlignment="1">
      <alignment vertical="center" wrapText="1"/>
    </xf>
    <xf numFmtId="0" fontId="3" fillId="4" borderId="8" xfId="1" applyFont="1" applyAlignment="1">
      <alignment wrapText="1"/>
    </xf>
    <xf numFmtId="0" fontId="0" fillId="6" borderId="1" xfId="0" applyFill="1" applyBorder="1" applyAlignment="1">
      <alignment horizontal="center" vertical="center"/>
    </xf>
    <xf numFmtId="0" fontId="2" fillId="4" borderId="8" xfId="1" applyFont="1" applyAlignment="1">
      <alignment vertical="center" wrapText="1"/>
    </xf>
    <xf numFmtId="164" fontId="0" fillId="4" borderId="8" xfId="1" applyNumberFormat="1" applyFont="1" applyAlignment="1">
      <alignment wrapText="1"/>
    </xf>
    <xf numFmtId="2" fontId="0" fillId="4" borderId="8" xfId="1" applyNumberFormat="1" applyFont="1" applyAlignment="1">
      <alignment wrapText="1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4" borderId="1" xfId="1" applyFont="1" applyBorder="1" applyAlignment="1">
      <alignment wrapText="1"/>
    </xf>
    <xf numFmtId="164" fontId="0" fillId="4" borderId="1" xfId="1" applyNumberFormat="1" applyFont="1" applyBorder="1" applyAlignment="1">
      <alignment wrapText="1"/>
    </xf>
    <xf numFmtId="2" fontId="0" fillId="4" borderId="1" xfId="1" applyNumberFormat="1" applyFont="1" applyBorder="1" applyAlignment="1">
      <alignment wrapText="1"/>
    </xf>
    <xf numFmtId="0" fontId="2" fillId="4" borderId="1" xfId="1" applyFont="1" applyBorder="1" applyAlignment="1">
      <alignment vertical="center" wrapText="1"/>
    </xf>
    <xf numFmtId="0" fontId="0" fillId="4" borderId="1" xfId="1" applyFont="1" applyBorder="1" applyAlignment="1">
      <alignment vertical="center" wrapText="1"/>
    </xf>
    <xf numFmtId="0" fontId="0" fillId="0" borderId="0" xfId="0" applyFill="1" applyBorder="1"/>
    <xf numFmtId="0" fontId="0" fillId="4" borderId="1" xfId="1" applyFont="1" applyBorder="1" applyAlignment="1">
      <alignment horizontal="center" wrapText="1"/>
    </xf>
    <xf numFmtId="0" fontId="0" fillId="4" borderId="7" xfId="1" applyFont="1" applyBorder="1" applyAlignment="1">
      <alignment horizontal="center" vertical="center" wrapText="1"/>
    </xf>
    <xf numFmtId="0" fontId="0" fillId="4" borderId="6" xfId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0" fillId="4" borderId="10" xfId="1" applyFont="1" applyBorder="1" applyAlignment="1">
      <alignment horizontal="center" vertical="center" wrapText="1"/>
    </xf>
    <xf numFmtId="0" fontId="0" fillId="4" borderId="6" xfId="1" applyFont="1" applyBorder="1" applyAlignment="1">
      <alignment horizontal="center" vertical="center" wrapText="1"/>
    </xf>
    <xf numFmtId="0" fontId="0" fillId="4" borderId="7" xfId="1" applyFont="1" applyBorder="1" applyAlignment="1">
      <alignment horizontal="left" vertical="center" wrapText="1"/>
    </xf>
    <xf numFmtId="0" fontId="0" fillId="4" borderId="6" xfId="1" applyFont="1" applyBorder="1" applyAlignment="1">
      <alignment horizontal="left" vertical="center" wrapText="1"/>
    </xf>
    <xf numFmtId="164" fontId="0" fillId="4" borderId="7" xfId="1" applyNumberFormat="1" applyFont="1" applyBorder="1" applyAlignment="1">
      <alignment horizontal="right" vertical="center" wrapText="1"/>
    </xf>
    <xf numFmtId="164" fontId="0" fillId="4" borderId="6" xfId="1" applyNumberFormat="1" applyFont="1" applyBorder="1" applyAlignment="1">
      <alignment horizontal="right" vertical="center" wrapText="1"/>
    </xf>
    <xf numFmtId="2" fontId="0" fillId="4" borderId="7" xfId="1" applyNumberFormat="1" applyFont="1" applyBorder="1" applyAlignment="1">
      <alignment horizontal="right" vertical="center" wrapText="1"/>
    </xf>
    <xf numFmtId="2" fontId="0" fillId="4" borderId="6" xfId="1" applyNumberFormat="1" applyFont="1" applyBorder="1" applyAlignment="1">
      <alignment horizontal="right" vertical="center" wrapText="1"/>
    </xf>
    <xf numFmtId="0" fontId="0" fillId="4" borderId="7" xfId="1" applyFont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4" borderId="10" xfId="1" applyFont="1" applyBorder="1" applyAlignment="1">
      <alignment horizontal="left" vertical="center" wrapText="1"/>
    </xf>
    <xf numFmtId="164" fontId="0" fillId="4" borderId="10" xfId="1" applyNumberFormat="1" applyFont="1" applyBorder="1" applyAlignment="1">
      <alignment horizontal="right" vertical="center" wrapText="1"/>
    </xf>
    <xf numFmtId="2" fontId="0" fillId="4" borderId="10" xfId="1" applyNumberFormat="1" applyFont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4" borderId="7" xfId="1" applyFont="1" applyBorder="1" applyAlignment="1">
      <alignment vertical="center" wrapText="1"/>
    </xf>
    <xf numFmtId="0" fontId="0" fillId="4" borderId="7" xfId="1" applyFont="1" applyBorder="1" applyAlignment="1">
      <alignment wrapText="1"/>
    </xf>
    <xf numFmtId="0" fontId="0" fillId="4" borderId="7" xfId="1" applyFont="1" applyBorder="1" applyAlignment="1">
      <alignment horizontal="center" wrapText="1"/>
    </xf>
    <xf numFmtId="0" fontId="0" fillId="6" borderId="2" xfId="0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3" fillId="4" borderId="6" xfId="1" applyFont="1" applyBorder="1" applyAlignment="1">
      <alignment wrapText="1"/>
    </xf>
    <xf numFmtId="0" fontId="0" fillId="6" borderId="6" xfId="0" applyFill="1" applyBorder="1" applyAlignment="1">
      <alignment horizontal="center"/>
    </xf>
    <xf numFmtId="0" fontId="0" fillId="4" borderId="4" xfId="1" applyFont="1" applyBorder="1" applyAlignment="1">
      <alignment vertical="center" wrapText="1"/>
    </xf>
    <xf numFmtId="0" fontId="0" fillId="4" borderId="9" xfId="1" applyFont="1" applyBorder="1" applyAlignment="1">
      <alignment wrapText="1"/>
    </xf>
    <xf numFmtId="0" fontId="0" fillId="4" borderId="9" xfId="1" applyFont="1" applyBorder="1" applyAlignment="1">
      <alignment horizontal="center" wrapText="1"/>
    </xf>
    <xf numFmtId="0" fontId="0" fillId="6" borderId="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164" fontId="9" fillId="4" borderId="6" xfId="1" applyNumberFormat="1" applyFont="1" applyBorder="1" applyAlignment="1">
      <alignment wrapText="1"/>
    </xf>
    <xf numFmtId="2" fontId="9" fillId="4" borderId="6" xfId="1" applyNumberFormat="1" applyFont="1" applyBorder="1" applyAlignment="1">
      <alignment wrapText="1"/>
    </xf>
    <xf numFmtId="0" fontId="9" fillId="4" borderId="6" xfId="1" applyFont="1" applyBorder="1" applyAlignment="1">
      <alignment horizontal="center" wrapText="1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</cellXfs>
  <cellStyles count="2">
    <cellStyle name="Normal" xfId="0" builtinId="0"/>
    <cellStyle name="Nota" xfId="1" builtinId="10"/>
  </cellStyles>
  <dxfs count="0"/>
  <tableStyles count="0" defaultTableStyle="TableStyleMedium2" defaultPivotStyle="PivotStyleLight16"/>
  <colors>
    <mruColors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2" topLeftCell="A3" activePane="bottomLeft" state="frozen"/>
      <selection pane="bottomLeft" activeCell="F11" sqref="F11"/>
    </sheetView>
  </sheetViews>
  <sheetFormatPr defaultColWidth="9.125" defaultRowHeight="14.25"/>
  <cols>
    <col min="1" max="1" width="16.875" style="1" customWidth="1"/>
    <col min="2" max="2" width="9.375" style="1" bestFit="1" customWidth="1"/>
    <col min="3" max="3" width="13.75" style="1" bestFit="1" customWidth="1"/>
    <col min="4" max="4" width="30.75" style="1" customWidth="1"/>
    <col min="5" max="16384" width="9.125" style="2"/>
  </cols>
  <sheetData>
    <row r="1" spans="1:4" ht="36" customHeight="1">
      <c r="A1" s="31" t="s">
        <v>14</v>
      </c>
      <c r="B1" s="31"/>
      <c r="C1" s="31"/>
      <c r="D1" s="31"/>
    </row>
    <row r="2" spans="1:4" ht="15">
      <c r="A2" s="15" t="s">
        <v>0</v>
      </c>
      <c r="B2" s="15" t="s">
        <v>3</v>
      </c>
      <c r="C2" s="15" t="s">
        <v>13</v>
      </c>
      <c r="D2" s="15" t="s">
        <v>4</v>
      </c>
    </row>
    <row r="3" spans="1:4">
      <c r="A3" s="5" t="s">
        <v>23</v>
      </c>
      <c r="B3" s="10">
        <v>11.7128</v>
      </c>
      <c r="C3" s="11">
        <v>14.038</v>
      </c>
      <c r="D3" s="5"/>
    </row>
    <row r="4" spans="1:4">
      <c r="A4" s="5" t="s">
        <v>38</v>
      </c>
      <c r="B4" s="10">
        <v>3.99</v>
      </c>
      <c r="C4" s="5">
        <v>8.32</v>
      </c>
      <c r="D4" s="5"/>
    </row>
    <row r="5" spans="1:4">
      <c r="A5" s="5" t="s">
        <v>27</v>
      </c>
      <c r="B5" s="10">
        <v>5.7190000000000003</v>
      </c>
      <c r="C5" s="5">
        <v>9.6199999999999992</v>
      </c>
      <c r="D5" s="5"/>
    </row>
    <row r="6" spans="1:4">
      <c r="A6" s="5" t="s">
        <v>24</v>
      </c>
      <c r="B6" s="10">
        <v>9.4286999999999992</v>
      </c>
      <c r="C6" s="11">
        <v>12.849299999999999</v>
      </c>
      <c r="D6" s="5"/>
    </row>
    <row r="7" spans="1:4">
      <c r="A7" s="5" t="s">
        <v>17</v>
      </c>
      <c r="B7" s="10">
        <v>3.7050000000000001</v>
      </c>
      <c r="C7" s="11">
        <v>7.7</v>
      </c>
      <c r="D7" s="5"/>
    </row>
    <row r="8" spans="1:4">
      <c r="A8" s="5" t="s">
        <v>39</v>
      </c>
      <c r="B8" s="10">
        <v>3.4125000000000001</v>
      </c>
      <c r="C8" s="11">
        <v>7.4</v>
      </c>
      <c r="D8" s="5"/>
    </row>
    <row r="9" spans="1:4">
      <c r="A9" s="5" t="s">
        <v>40</v>
      </c>
      <c r="B9" s="10">
        <v>9.5719999999999992</v>
      </c>
      <c r="C9" s="11">
        <v>12.8766</v>
      </c>
      <c r="D9" s="5"/>
    </row>
    <row r="10" spans="1:4">
      <c r="A10" s="5" t="s">
        <v>25</v>
      </c>
      <c r="B10" s="10">
        <v>8.9320000000000004</v>
      </c>
      <c r="C10" s="5">
        <v>11.96</v>
      </c>
      <c r="D10" s="5"/>
    </row>
    <row r="11" spans="1:4">
      <c r="A11" s="5" t="s">
        <v>41</v>
      </c>
      <c r="B11" s="10">
        <v>5.9443999999999999</v>
      </c>
      <c r="C11" s="5">
        <v>10.02</v>
      </c>
      <c r="D11" s="5"/>
    </row>
    <row r="12" spans="1:4">
      <c r="A12" s="9" t="s">
        <v>28</v>
      </c>
      <c r="B12" s="10">
        <v>14.4899</v>
      </c>
      <c r="C12" s="5">
        <v>17.440000000000001</v>
      </c>
      <c r="D12" s="5"/>
    </row>
    <row r="13" spans="1:4">
      <c r="A13" s="6" t="s">
        <v>30</v>
      </c>
      <c r="B13" s="10">
        <v>31.075299999999999</v>
      </c>
      <c r="C13" s="11">
        <v>29.8</v>
      </c>
      <c r="D13" s="5"/>
    </row>
    <row r="14" spans="1:4">
      <c r="A14" s="9" t="s">
        <v>29</v>
      </c>
      <c r="B14" s="10">
        <v>17.6203</v>
      </c>
      <c r="C14" s="11">
        <v>16.919899999999998</v>
      </c>
      <c r="D14" s="5"/>
    </row>
    <row r="15" spans="1:4">
      <c r="A15" s="6" t="s">
        <v>26</v>
      </c>
      <c r="B15" s="10">
        <v>1.7110000000000001</v>
      </c>
      <c r="C15" s="5">
        <v>6.34</v>
      </c>
      <c r="D15" s="5"/>
    </row>
    <row r="16" spans="1:4">
      <c r="A16" s="6" t="s">
        <v>31</v>
      </c>
      <c r="B16" s="10">
        <v>2.25</v>
      </c>
      <c r="C16" s="11">
        <v>6</v>
      </c>
      <c r="D16" s="5"/>
    </row>
    <row r="17" spans="1:4">
      <c r="A17" s="9" t="s">
        <v>32</v>
      </c>
      <c r="B17" s="10">
        <v>2.4300000000000002</v>
      </c>
      <c r="C17" s="5">
        <v>6.24</v>
      </c>
      <c r="D17" s="5"/>
    </row>
    <row r="18" spans="1:4">
      <c r="A18" s="6" t="s">
        <v>33</v>
      </c>
      <c r="B18" s="10">
        <v>3.43</v>
      </c>
      <c r="C18" s="11">
        <v>7.7</v>
      </c>
      <c r="D18" s="5"/>
    </row>
    <row r="19" spans="1:4">
      <c r="A19" s="9" t="s">
        <v>34</v>
      </c>
      <c r="B19" s="10">
        <v>3.4485000000000001</v>
      </c>
      <c r="C19" s="11">
        <v>8.1</v>
      </c>
      <c r="D19" s="5"/>
    </row>
    <row r="20" spans="1:4">
      <c r="A20" s="6" t="s">
        <v>16</v>
      </c>
      <c r="B20" s="10">
        <v>10.554</v>
      </c>
      <c r="C20" s="5">
        <v>14.16</v>
      </c>
      <c r="D20" s="5"/>
    </row>
    <row r="21" spans="1:4">
      <c r="A21" s="6" t="s">
        <v>22</v>
      </c>
      <c r="B21" s="10">
        <v>13.0009</v>
      </c>
      <c r="C21" s="11">
        <v>15.5829</v>
      </c>
      <c r="D21" s="5"/>
    </row>
    <row r="22" spans="1:4">
      <c r="A22" s="6" t="s">
        <v>35</v>
      </c>
      <c r="B22" s="10">
        <v>1.925</v>
      </c>
      <c r="C22" s="11">
        <v>6.3</v>
      </c>
      <c r="D22" s="5"/>
    </row>
    <row r="23" spans="1:4">
      <c r="A23" s="6" t="s">
        <v>36</v>
      </c>
      <c r="B23" s="10">
        <v>10.34</v>
      </c>
      <c r="C23" s="11">
        <v>13.5</v>
      </c>
      <c r="D23" s="5"/>
    </row>
    <row r="24" spans="1:4">
      <c r="A24" s="9" t="s">
        <v>37</v>
      </c>
      <c r="B24" s="10">
        <v>2.1419999999999999</v>
      </c>
      <c r="C24" s="11">
        <v>6</v>
      </c>
      <c r="D24" s="5"/>
    </row>
    <row r="25" spans="1:4">
      <c r="A25" s="6" t="s">
        <v>18</v>
      </c>
      <c r="B25" s="10">
        <v>2.0699999999999998</v>
      </c>
      <c r="C25" s="5">
        <v>5.76</v>
      </c>
      <c r="D25" s="5"/>
    </row>
    <row r="26" spans="1:4">
      <c r="A26" s="6" t="s">
        <v>42</v>
      </c>
      <c r="B26" s="10">
        <v>2.496</v>
      </c>
      <c r="C26" s="5">
        <v>7.84</v>
      </c>
      <c r="D26" s="5"/>
    </row>
    <row r="27" spans="1:4">
      <c r="A27" s="6" t="s">
        <v>43</v>
      </c>
      <c r="B27" s="5">
        <v>4.048</v>
      </c>
      <c r="C27" s="5">
        <v>8.1199999999999992</v>
      </c>
      <c r="D27" s="5"/>
    </row>
    <row r="28" spans="1:4">
      <c r="A28" s="6"/>
      <c r="B28" s="5"/>
      <c r="C28" s="5"/>
      <c r="D28" s="5"/>
    </row>
    <row r="29" spans="1:4" ht="15">
      <c r="A29" s="7" t="s">
        <v>21</v>
      </c>
      <c r="B29" s="10">
        <f>SUM(B3:B27)</f>
        <v>185.44730000000004</v>
      </c>
      <c r="C29" s="11">
        <f>SUM(C3:C27)</f>
        <v>270.58670000000001</v>
      </c>
      <c r="D29" s="5"/>
    </row>
  </sheetData>
  <mergeCells count="1">
    <mergeCell ref="A1:D1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="115" zoomScaleNormal="115" workbookViewId="0">
      <pane ySplit="3" topLeftCell="A4" activePane="bottomLeft" state="frozen"/>
      <selection pane="bottomLeft" activeCell="J28" sqref="J28"/>
    </sheetView>
  </sheetViews>
  <sheetFormatPr defaultColWidth="9.125" defaultRowHeight="14.25"/>
  <cols>
    <col min="1" max="1" width="20.75" style="3" customWidth="1"/>
    <col min="2" max="3" width="9.375" style="3" customWidth="1"/>
    <col min="4" max="4" width="5.75" style="1" customWidth="1"/>
    <col min="5" max="5" width="13.25" style="1" bestFit="1" customWidth="1"/>
    <col min="6" max="6" width="5.75" style="1" customWidth="1"/>
    <col min="7" max="7" width="12.75" style="1" bestFit="1" customWidth="1"/>
    <col min="8" max="8" width="5.75" style="1" customWidth="1"/>
    <col min="9" max="9" width="12" style="1" bestFit="1" customWidth="1"/>
    <col min="10" max="10" width="23.75" style="4" bestFit="1" customWidth="1"/>
    <col min="11" max="16384" width="9.125" style="3"/>
  </cols>
  <sheetData>
    <row r="1" spans="1:10" ht="30.75" customHeight="1">
      <c r="A1" s="43" t="s">
        <v>15</v>
      </c>
      <c r="B1" s="44"/>
      <c r="C1" s="44"/>
      <c r="D1" s="44"/>
      <c r="E1" s="44"/>
      <c r="F1" s="44"/>
      <c r="G1" s="44"/>
      <c r="H1" s="44"/>
      <c r="I1" s="44"/>
      <c r="J1" s="45"/>
    </row>
    <row r="2" spans="1:10" ht="15">
      <c r="A2" s="41" t="s">
        <v>46</v>
      </c>
      <c r="B2" s="46" t="s">
        <v>5</v>
      </c>
      <c r="C2" s="47"/>
      <c r="D2" s="51" t="s">
        <v>6</v>
      </c>
      <c r="E2" s="51"/>
      <c r="F2" s="51" t="s">
        <v>9</v>
      </c>
      <c r="G2" s="51"/>
      <c r="H2" s="51" t="s">
        <v>11</v>
      </c>
      <c r="I2" s="51"/>
      <c r="J2" s="51" t="s">
        <v>4</v>
      </c>
    </row>
    <row r="3" spans="1:10" ht="15">
      <c r="A3" s="42"/>
      <c r="B3" s="16" t="s">
        <v>1</v>
      </c>
      <c r="C3" s="16" t="s">
        <v>2</v>
      </c>
      <c r="D3" s="16" t="s">
        <v>7</v>
      </c>
      <c r="E3" s="16" t="s">
        <v>8</v>
      </c>
      <c r="F3" s="16" t="s">
        <v>7</v>
      </c>
      <c r="G3" s="16" t="s">
        <v>10</v>
      </c>
      <c r="H3" s="15" t="s">
        <v>7</v>
      </c>
      <c r="I3" s="15" t="s">
        <v>12</v>
      </c>
      <c r="J3" s="51"/>
    </row>
    <row r="4" spans="1:10">
      <c r="A4" s="22" t="s">
        <v>23</v>
      </c>
      <c r="B4" s="23">
        <v>11.7128</v>
      </c>
      <c r="C4" s="24">
        <v>14.038</v>
      </c>
      <c r="D4" s="28">
        <v>1</v>
      </c>
      <c r="E4" s="28">
        <v>160</v>
      </c>
      <c r="F4" s="28">
        <v>4</v>
      </c>
      <c r="G4" s="28">
        <v>400</v>
      </c>
      <c r="H4" s="17">
        <v>1</v>
      </c>
      <c r="I4" s="8">
        <v>1200</v>
      </c>
      <c r="J4" s="18" t="s">
        <v>44</v>
      </c>
    </row>
    <row r="5" spans="1:10">
      <c r="A5" s="22" t="s">
        <v>38</v>
      </c>
      <c r="B5" s="23">
        <v>3.99</v>
      </c>
      <c r="C5" s="22">
        <v>8.32</v>
      </c>
      <c r="D5" s="28">
        <v>2</v>
      </c>
      <c r="E5" s="28">
        <v>200</v>
      </c>
      <c r="F5" s="28">
        <v>1</v>
      </c>
      <c r="G5" s="28">
        <v>600</v>
      </c>
      <c r="H5" s="17">
        <v>1</v>
      </c>
      <c r="I5" s="8">
        <v>6000</v>
      </c>
      <c r="J5" s="18" t="s">
        <v>47</v>
      </c>
    </row>
    <row r="6" spans="1:10">
      <c r="A6" s="22" t="s">
        <v>27</v>
      </c>
      <c r="B6" s="23">
        <v>5.7190000000000003</v>
      </c>
      <c r="C6" s="22">
        <v>9.6199999999999992</v>
      </c>
      <c r="D6" s="28">
        <v>1</v>
      </c>
      <c r="E6" s="28">
        <v>100</v>
      </c>
      <c r="F6" s="28">
        <v>1</v>
      </c>
      <c r="G6" s="28">
        <v>100</v>
      </c>
      <c r="H6" s="17" t="s">
        <v>45</v>
      </c>
      <c r="I6" s="8"/>
      <c r="J6" s="19" t="s">
        <v>45</v>
      </c>
    </row>
    <row r="7" spans="1:10">
      <c r="A7" s="22" t="s">
        <v>24</v>
      </c>
      <c r="B7" s="23">
        <v>9.4286999999999992</v>
      </c>
      <c r="C7" s="24">
        <v>12.849299999999999</v>
      </c>
      <c r="D7" s="28">
        <v>1</v>
      </c>
      <c r="E7" s="28">
        <v>100</v>
      </c>
      <c r="F7" s="28">
        <v>4</v>
      </c>
      <c r="G7" s="28">
        <v>400</v>
      </c>
      <c r="H7" s="17">
        <v>1</v>
      </c>
      <c r="I7" s="8">
        <v>1200</v>
      </c>
      <c r="J7" s="18" t="s">
        <v>44</v>
      </c>
    </row>
    <row r="8" spans="1:10">
      <c r="A8" s="22" t="s">
        <v>17</v>
      </c>
      <c r="B8" s="23">
        <v>3.7050000000000001</v>
      </c>
      <c r="C8" s="24">
        <v>7.7</v>
      </c>
      <c r="D8" s="28">
        <v>1</v>
      </c>
      <c r="E8" s="28">
        <v>100</v>
      </c>
      <c r="F8" s="28">
        <v>1</v>
      </c>
      <c r="G8" s="28">
        <v>600</v>
      </c>
      <c r="H8" s="17">
        <v>1</v>
      </c>
      <c r="I8" s="8">
        <v>6000</v>
      </c>
      <c r="J8" s="18" t="s">
        <v>47</v>
      </c>
    </row>
    <row r="9" spans="1:10">
      <c r="A9" s="22" t="s">
        <v>39</v>
      </c>
      <c r="B9" s="23">
        <v>3.4125000000000001</v>
      </c>
      <c r="C9" s="24">
        <v>7.4</v>
      </c>
      <c r="D9" s="28">
        <v>1</v>
      </c>
      <c r="E9" s="28">
        <v>100</v>
      </c>
      <c r="F9" s="28">
        <v>1</v>
      </c>
      <c r="G9" s="28">
        <v>100</v>
      </c>
      <c r="H9" s="17">
        <v>1</v>
      </c>
      <c r="I9" s="8"/>
      <c r="J9" s="19" t="s">
        <v>45</v>
      </c>
    </row>
    <row r="10" spans="1:10">
      <c r="A10" s="22" t="s">
        <v>40</v>
      </c>
      <c r="B10" s="23">
        <v>9.5719999999999992</v>
      </c>
      <c r="C10" s="24">
        <v>12.8766</v>
      </c>
      <c r="D10" s="28">
        <v>1</v>
      </c>
      <c r="E10" s="28">
        <v>100</v>
      </c>
      <c r="F10" s="28">
        <v>4</v>
      </c>
      <c r="G10" s="28">
        <v>400</v>
      </c>
      <c r="H10" s="20">
        <v>1</v>
      </c>
      <c r="I10" s="21">
        <v>1200</v>
      </c>
      <c r="J10" s="18" t="s">
        <v>44</v>
      </c>
    </row>
    <row r="11" spans="1:10">
      <c r="A11" s="22" t="s">
        <v>25</v>
      </c>
      <c r="B11" s="23">
        <v>8.9320000000000004</v>
      </c>
      <c r="C11" s="22">
        <v>11.96</v>
      </c>
      <c r="D11" s="28">
        <v>1</v>
      </c>
      <c r="E11" s="28">
        <v>100</v>
      </c>
      <c r="F11" s="28">
        <v>4</v>
      </c>
      <c r="G11" s="28">
        <v>400</v>
      </c>
      <c r="H11" s="17">
        <v>1</v>
      </c>
      <c r="I11" s="8">
        <v>1200</v>
      </c>
      <c r="J11" s="18" t="s">
        <v>44</v>
      </c>
    </row>
    <row r="12" spans="1:10">
      <c r="A12" s="22" t="s">
        <v>41</v>
      </c>
      <c r="B12" s="23">
        <v>5.9443999999999999</v>
      </c>
      <c r="C12" s="22">
        <v>10.02</v>
      </c>
      <c r="D12" s="28">
        <v>2</v>
      </c>
      <c r="E12" s="28">
        <v>200</v>
      </c>
      <c r="F12" s="28">
        <v>2</v>
      </c>
      <c r="G12" s="28">
        <v>200</v>
      </c>
      <c r="H12" s="20">
        <v>1</v>
      </c>
      <c r="I12" s="21">
        <v>6000</v>
      </c>
      <c r="J12" s="18" t="s">
        <v>47</v>
      </c>
    </row>
    <row r="13" spans="1:10">
      <c r="A13" s="25" t="s">
        <v>28</v>
      </c>
      <c r="B13" s="23">
        <v>14.4899</v>
      </c>
      <c r="C13" s="22">
        <v>17.440000000000001</v>
      </c>
      <c r="D13" s="28">
        <v>1</v>
      </c>
      <c r="E13" s="28">
        <v>220</v>
      </c>
      <c r="F13" s="28">
        <v>4</v>
      </c>
      <c r="G13" s="28">
        <v>400</v>
      </c>
      <c r="H13" s="20" t="s">
        <v>45</v>
      </c>
      <c r="I13" s="21"/>
      <c r="J13" s="19" t="s">
        <v>45</v>
      </c>
    </row>
    <row r="14" spans="1:10">
      <c r="A14" s="26" t="s">
        <v>30</v>
      </c>
      <c r="B14" s="23">
        <v>31.075299999999999</v>
      </c>
      <c r="C14" s="24">
        <v>29.8</v>
      </c>
      <c r="D14" s="28">
        <v>2</v>
      </c>
      <c r="E14" s="28">
        <v>460</v>
      </c>
      <c r="F14" s="28">
        <v>6</v>
      </c>
      <c r="G14" s="28">
        <v>600</v>
      </c>
      <c r="H14" s="17" t="s">
        <v>45</v>
      </c>
      <c r="I14" s="8"/>
      <c r="J14" s="19" t="s">
        <v>45</v>
      </c>
    </row>
    <row r="15" spans="1:10">
      <c r="A15" s="25" t="s">
        <v>29</v>
      </c>
      <c r="B15" s="23">
        <v>17.6203</v>
      </c>
      <c r="C15" s="24">
        <v>16.919899999999998</v>
      </c>
      <c r="D15" s="28">
        <v>1</v>
      </c>
      <c r="E15" s="28">
        <v>220</v>
      </c>
      <c r="F15" s="28">
        <v>4</v>
      </c>
      <c r="G15" s="28">
        <v>400</v>
      </c>
      <c r="H15" s="20" t="s">
        <v>45</v>
      </c>
      <c r="I15" s="21"/>
      <c r="J15" s="19" t="s">
        <v>45</v>
      </c>
    </row>
    <row r="16" spans="1:10">
      <c r="A16" s="26" t="s">
        <v>26</v>
      </c>
      <c r="B16" s="23">
        <v>1.7110000000000001</v>
      </c>
      <c r="C16" s="22">
        <v>6.34</v>
      </c>
      <c r="D16" s="28">
        <v>1</v>
      </c>
      <c r="E16" s="28">
        <v>100</v>
      </c>
      <c r="F16" s="28">
        <v>1</v>
      </c>
      <c r="G16" s="28">
        <v>600</v>
      </c>
      <c r="H16" s="20" t="s">
        <v>45</v>
      </c>
      <c r="I16" s="21"/>
      <c r="J16" s="19" t="s">
        <v>45</v>
      </c>
    </row>
    <row r="17" spans="1:10">
      <c r="A17" s="26" t="s">
        <v>31</v>
      </c>
      <c r="B17" s="23">
        <v>2.25</v>
      </c>
      <c r="C17" s="24">
        <v>6</v>
      </c>
      <c r="D17" s="28" t="s">
        <v>45</v>
      </c>
      <c r="E17" s="28" t="s">
        <v>45</v>
      </c>
      <c r="F17" s="28" t="s">
        <v>45</v>
      </c>
      <c r="G17" s="28" t="s">
        <v>45</v>
      </c>
      <c r="H17" s="20" t="s">
        <v>45</v>
      </c>
      <c r="I17" s="8"/>
      <c r="J17" s="19" t="s">
        <v>45</v>
      </c>
    </row>
    <row r="18" spans="1:10">
      <c r="A18" s="25" t="s">
        <v>32</v>
      </c>
      <c r="B18" s="23">
        <v>2.4300000000000002</v>
      </c>
      <c r="C18" s="22">
        <v>6.24</v>
      </c>
      <c r="D18" s="28" t="s">
        <v>45</v>
      </c>
      <c r="E18" s="28" t="s">
        <v>45</v>
      </c>
      <c r="F18" s="28" t="s">
        <v>45</v>
      </c>
      <c r="G18" s="28" t="s">
        <v>45</v>
      </c>
      <c r="H18" s="20" t="s">
        <v>45</v>
      </c>
      <c r="I18" s="8"/>
      <c r="J18" s="19" t="s">
        <v>45</v>
      </c>
    </row>
    <row r="19" spans="1:10">
      <c r="A19" s="26" t="s">
        <v>33</v>
      </c>
      <c r="B19" s="23">
        <v>3.43</v>
      </c>
      <c r="C19" s="24">
        <v>7.7</v>
      </c>
      <c r="D19" s="28">
        <v>1</v>
      </c>
      <c r="E19" s="28">
        <v>100</v>
      </c>
      <c r="F19" s="28">
        <v>2</v>
      </c>
      <c r="G19" s="28">
        <v>200</v>
      </c>
      <c r="H19" s="20" t="s">
        <v>45</v>
      </c>
      <c r="I19" s="21"/>
      <c r="J19" s="19" t="s">
        <v>45</v>
      </c>
    </row>
    <row r="20" spans="1:10">
      <c r="A20" s="25" t="s">
        <v>34</v>
      </c>
      <c r="B20" s="23">
        <v>3.4485000000000001</v>
      </c>
      <c r="C20" s="24">
        <v>8.1</v>
      </c>
      <c r="D20" s="28">
        <v>1</v>
      </c>
      <c r="E20" s="28">
        <v>100</v>
      </c>
      <c r="F20" s="28">
        <v>2</v>
      </c>
      <c r="G20" s="28">
        <v>200</v>
      </c>
      <c r="H20" s="20" t="s">
        <v>45</v>
      </c>
      <c r="I20" s="8"/>
      <c r="J20" s="19" t="s">
        <v>45</v>
      </c>
    </row>
    <row r="21" spans="1:10">
      <c r="A21" s="26" t="s">
        <v>16</v>
      </c>
      <c r="B21" s="23">
        <v>10.554</v>
      </c>
      <c r="C21" s="22">
        <v>14.16</v>
      </c>
      <c r="D21" s="28" t="s">
        <v>45</v>
      </c>
      <c r="E21" s="28" t="s">
        <v>45</v>
      </c>
      <c r="F21" s="28" t="s">
        <v>45</v>
      </c>
      <c r="G21" s="28" t="s">
        <v>45</v>
      </c>
      <c r="H21" s="20" t="s">
        <v>45</v>
      </c>
      <c r="I21" s="8"/>
      <c r="J21" s="19" t="s">
        <v>45</v>
      </c>
    </row>
    <row r="22" spans="1:10">
      <c r="A22" s="34" t="s">
        <v>22</v>
      </c>
      <c r="B22" s="36">
        <v>13.0009</v>
      </c>
      <c r="C22" s="38">
        <v>15.5829</v>
      </c>
      <c r="D22" s="40">
        <v>1</v>
      </c>
      <c r="E22" s="40">
        <v>160</v>
      </c>
      <c r="F22" s="29">
        <v>3</v>
      </c>
      <c r="G22" s="29">
        <v>100</v>
      </c>
      <c r="H22" s="17">
        <v>1</v>
      </c>
      <c r="I22" s="8">
        <v>960</v>
      </c>
      <c r="J22" s="18" t="s">
        <v>19</v>
      </c>
    </row>
    <row r="23" spans="1:10">
      <c r="A23" s="48"/>
      <c r="B23" s="49"/>
      <c r="C23" s="50"/>
      <c r="D23" s="32"/>
      <c r="E23" s="32"/>
      <c r="F23" s="32">
        <v>2</v>
      </c>
      <c r="G23" s="32">
        <v>600</v>
      </c>
      <c r="H23" s="17">
        <v>1</v>
      </c>
      <c r="I23" s="8">
        <v>2000</v>
      </c>
      <c r="J23" s="18" t="s">
        <v>48</v>
      </c>
    </row>
    <row r="24" spans="1:10">
      <c r="A24" s="35"/>
      <c r="B24" s="37"/>
      <c r="C24" s="39"/>
      <c r="D24" s="33"/>
      <c r="E24" s="33"/>
      <c r="F24" s="33"/>
      <c r="G24" s="33"/>
      <c r="H24" s="17">
        <v>1</v>
      </c>
      <c r="I24" s="8">
        <v>400</v>
      </c>
      <c r="J24" s="18" t="s">
        <v>20</v>
      </c>
    </row>
    <row r="25" spans="1:10">
      <c r="A25" s="26" t="s">
        <v>35</v>
      </c>
      <c r="B25" s="23">
        <v>1.925</v>
      </c>
      <c r="C25" s="24">
        <v>6.3</v>
      </c>
      <c r="D25" s="28">
        <v>1</v>
      </c>
      <c r="E25" s="28">
        <v>100</v>
      </c>
      <c r="F25" s="28">
        <v>1</v>
      </c>
      <c r="G25" s="28">
        <v>100</v>
      </c>
      <c r="H25" s="20" t="s">
        <v>45</v>
      </c>
      <c r="I25" s="8"/>
      <c r="J25" s="19" t="s">
        <v>45</v>
      </c>
    </row>
    <row r="26" spans="1:10">
      <c r="A26" s="34" t="s">
        <v>36</v>
      </c>
      <c r="B26" s="36">
        <v>10.34</v>
      </c>
      <c r="C26" s="38">
        <v>13.5</v>
      </c>
      <c r="D26" s="40">
        <v>1</v>
      </c>
      <c r="E26" s="40">
        <v>160</v>
      </c>
      <c r="F26" s="29">
        <v>2</v>
      </c>
      <c r="G26" s="29">
        <v>600</v>
      </c>
      <c r="H26" s="20">
        <v>1</v>
      </c>
      <c r="I26" s="21">
        <v>660</v>
      </c>
      <c r="J26" s="18" t="s">
        <v>49</v>
      </c>
    </row>
    <row r="27" spans="1:10">
      <c r="A27" s="35"/>
      <c r="B27" s="37"/>
      <c r="C27" s="39"/>
      <c r="D27" s="33"/>
      <c r="E27" s="33"/>
      <c r="F27" s="30">
        <v>1</v>
      </c>
      <c r="G27" s="30">
        <v>100</v>
      </c>
      <c r="H27" s="20">
        <v>1</v>
      </c>
      <c r="I27" s="21">
        <v>5000</v>
      </c>
      <c r="J27" s="18" t="s">
        <v>50</v>
      </c>
    </row>
    <row r="28" spans="1:10">
      <c r="A28" s="25" t="s">
        <v>37</v>
      </c>
      <c r="B28" s="23">
        <v>2.1419999999999999</v>
      </c>
      <c r="C28" s="24">
        <v>6</v>
      </c>
      <c r="D28" s="28">
        <v>1</v>
      </c>
      <c r="E28" s="28">
        <v>100</v>
      </c>
      <c r="F28" s="28">
        <v>2</v>
      </c>
      <c r="G28" s="28">
        <v>200</v>
      </c>
      <c r="H28" s="17" t="s">
        <v>45</v>
      </c>
      <c r="I28" s="8"/>
      <c r="J28" s="19" t="s">
        <v>45</v>
      </c>
    </row>
    <row r="29" spans="1:10">
      <c r="A29" s="26" t="s">
        <v>18</v>
      </c>
      <c r="B29" s="23">
        <v>2.0699999999999998</v>
      </c>
      <c r="C29" s="22">
        <v>5.76</v>
      </c>
      <c r="D29" s="28">
        <v>1</v>
      </c>
      <c r="E29" s="28">
        <v>100</v>
      </c>
      <c r="F29" s="28">
        <v>1</v>
      </c>
      <c r="G29" s="28">
        <v>600</v>
      </c>
      <c r="H29" s="17" t="s">
        <v>45</v>
      </c>
      <c r="I29" s="8"/>
      <c r="J29" s="19" t="s">
        <v>45</v>
      </c>
    </row>
    <row r="30" spans="1:10">
      <c r="A30" s="26" t="s">
        <v>42</v>
      </c>
      <c r="B30" s="23">
        <v>2.496</v>
      </c>
      <c r="C30" s="22">
        <v>7.84</v>
      </c>
      <c r="D30" s="28">
        <v>1</v>
      </c>
      <c r="E30" s="28">
        <v>100</v>
      </c>
      <c r="F30" s="28">
        <v>2</v>
      </c>
      <c r="G30" s="28">
        <v>200</v>
      </c>
      <c r="H30" s="17" t="s">
        <v>45</v>
      </c>
      <c r="I30" s="8"/>
      <c r="J30" s="19" t="s">
        <v>45</v>
      </c>
    </row>
    <row r="31" spans="1:10">
      <c r="A31" s="52" t="s">
        <v>43</v>
      </c>
      <c r="B31" s="53">
        <v>4.048</v>
      </c>
      <c r="C31" s="53">
        <v>8.1199999999999992</v>
      </c>
      <c r="D31" s="54">
        <v>1</v>
      </c>
      <c r="E31" s="54">
        <v>100</v>
      </c>
      <c r="F31" s="54">
        <v>2</v>
      </c>
      <c r="G31" s="54">
        <v>200</v>
      </c>
      <c r="H31" s="55" t="s">
        <v>45</v>
      </c>
      <c r="I31" s="56"/>
      <c r="J31" s="57" t="s">
        <v>45</v>
      </c>
    </row>
    <row r="32" spans="1:10">
      <c r="A32" s="60"/>
      <c r="B32" s="61"/>
      <c r="C32" s="61"/>
      <c r="D32" s="62"/>
      <c r="E32" s="62"/>
      <c r="F32" s="62"/>
      <c r="G32" s="62"/>
      <c r="H32" s="63"/>
      <c r="I32" s="63"/>
      <c r="J32" s="64"/>
    </row>
    <row r="33" spans="1:10" ht="15">
      <c r="A33" s="58" t="s">
        <v>21</v>
      </c>
      <c r="B33" s="65">
        <f t="shared" ref="B33:G33" si="0">SUM(B4:B31)</f>
        <v>185.44730000000004</v>
      </c>
      <c r="C33" s="66">
        <f t="shared" si="0"/>
        <v>270.58670000000001</v>
      </c>
      <c r="D33" s="67">
        <f t="shared" si="0"/>
        <v>25</v>
      </c>
      <c r="E33" s="67">
        <f t="shared" si="0"/>
        <v>3180</v>
      </c>
      <c r="F33" s="67">
        <f t="shared" si="0"/>
        <v>57</v>
      </c>
      <c r="G33" s="67">
        <f t="shared" si="0"/>
        <v>8300</v>
      </c>
      <c r="H33" s="68">
        <f>SUM(H4:H31)</f>
        <v>13</v>
      </c>
      <c r="I33" s="69">
        <f>SUM(I4:I31)</f>
        <v>31820</v>
      </c>
      <c r="J33" s="59" t="s">
        <v>45</v>
      </c>
    </row>
    <row r="34" spans="1:10">
      <c r="D34" s="12"/>
      <c r="E34" s="12"/>
      <c r="F34" s="14"/>
      <c r="G34" s="14"/>
      <c r="H34" s="12"/>
      <c r="I34" s="12"/>
      <c r="J34" s="27"/>
    </row>
    <row r="35" spans="1:10">
      <c r="D35" s="13"/>
      <c r="E35" s="13"/>
      <c r="F35" s="12"/>
      <c r="G35" s="12"/>
      <c r="H35" s="12"/>
      <c r="I35" s="12"/>
      <c r="J35" s="27"/>
    </row>
    <row r="36" spans="1:10">
      <c r="D36" s="13"/>
      <c r="E36" s="13"/>
      <c r="F36" s="12"/>
      <c r="G36" s="12"/>
      <c r="H36" s="12"/>
      <c r="I36" s="12"/>
      <c r="J36" s="27"/>
    </row>
    <row r="37" spans="1:10">
      <c r="D37" s="13"/>
      <c r="E37" s="12"/>
      <c r="F37" s="12"/>
      <c r="G37" s="12"/>
      <c r="H37" s="13"/>
      <c r="I37" s="13"/>
      <c r="J37" s="27"/>
    </row>
    <row r="38" spans="1:10">
      <c r="D38" s="12"/>
      <c r="E38" s="12"/>
      <c r="F38" s="12"/>
      <c r="G38" s="12"/>
      <c r="H38" s="13"/>
      <c r="I38" s="13"/>
      <c r="J38" s="27"/>
    </row>
    <row r="39" spans="1:10">
      <c r="D39" s="12"/>
      <c r="E39" s="12"/>
      <c r="F39" s="13"/>
      <c r="G39" s="13"/>
      <c r="H39" s="12"/>
      <c r="I39" s="13"/>
      <c r="J39" s="27"/>
    </row>
    <row r="40" spans="1:10">
      <c r="D40" s="12"/>
      <c r="E40" s="12"/>
      <c r="F40" s="12"/>
      <c r="G40" s="12"/>
      <c r="H40" s="12"/>
      <c r="I40" s="13"/>
      <c r="J40" s="27"/>
    </row>
    <row r="41" spans="1:10">
      <c r="D41" s="12"/>
      <c r="E41" s="12"/>
      <c r="F41" s="12"/>
      <c r="G41" s="12"/>
      <c r="H41" s="12"/>
      <c r="I41" s="12"/>
      <c r="J41" s="27"/>
    </row>
    <row r="42" spans="1:10">
      <c r="D42" s="12"/>
      <c r="E42" s="12"/>
      <c r="F42" s="12"/>
      <c r="G42" s="12"/>
      <c r="H42" s="12"/>
      <c r="I42" s="12"/>
      <c r="J42" s="27"/>
    </row>
    <row r="43" spans="1:10">
      <c r="D43" s="12"/>
      <c r="E43" s="12"/>
      <c r="F43" s="12"/>
      <c r="G43" s="12"/>
      <c r="H43" s="12"/>
      <c r="I43" s="12"/>
      <c r="J43" s="27"/>
    </row>
    <row r="44" spans="1:10">
      <c r="D44" s="12"/>
      <c r="E44" s="12"/>
      <c r="F44" s="13"/>
      <c r="G44" s="13"/>
      <c r="H44" s="12"/>
      <c r="I44" s="12"/>
      <c r="J44" s="27"/>
    </row>
    <row r="45" spans="1:10">
      <c r="D45" s="12"/>
      <c r="E45" s="12"/>
      <c r="F45" s="13"/>
      <c r="G45" s="13"/>
      <c r="H45" s="12"/>
      <c r="I45" s="12"/>
      <c r="J45" s="27"/>
    </row>
    <row r="46" spans="1:10">
      <c r="D46" s="12"/>
      <c r="E46" s="12"/>
      <c r="F46" s="12"/>
      <c r="G46" s="12"/>
      <c r="H46" s="12"/>
      <c r="I46" s="12"/>
      <c r="J46" s="27"/>
    </row>
    <row r="47" spans="1:10">
      <c r="D47" s="12"/>
      <c r="E47" s="12"/>
      <c r="F47" s="12"/>
      <c r="G47" s="12"/>
      <c r="H47" s="12"/>
      <c r="I47" s="12"/>
      <c r="J47" s="27"/>
    </row>
    <row r="48" spans="1:10">
      <c r="D48" s="12"/>
      <c r="E48" s="12"/>
      <c r="F48" s="12"/>
      <c r="G48" s="12"/>
      <c r="H48" s="12"/>
      <c r="I48" s="12"/>
      <c r="J48" s="27"/>
    </row>
    <row r="49" spans="6:10">
      <c r="F49" s="12"/>
      <c r="G49" s="12"/>
      <c r="H49" s="12"/>
      <c r="I49" s="12"/>
      <c r="J49" s="27"/>
    </row>
    <row r="50" spans="6:10">
      <c r="F50" s="12"/>
      <c r="G50" s="12"/>
      <c r="H50" s="12"/>
      <c r="I50" s="12"/>
      <c r="J50" s="27"/>
    </row>
    <row r="51" spans="6:10">
      <c r="H51" s="12"/>
      <c r="I51" s="12"/>
      <c r="J51" s="27"/>
    </row>
  </sheetData>
  <mergeCells count="19">
    <mergeCell ref="A2:A3"/>
    <mergeCell ref="A1:J1"/>
    <mergeCell ref="B2:C2"/>
    <mergeCell ref="A22:A24"/>
    <mergeCell ref="B22:B24"/>
    <mergeCell ref="C22:C24"/>
    <mergeCell ref="D22:D24"/>
    <mergeCell ref="E22:E24"/>
    <mergeCell ref="J2:J3"/>
    <mergeCell ref="D2:E2"/>
    <mergeCell ref="F2:G2"/>
    <mergeCell ref="H2:I2"/>
    <mergeCell ref="F23:F24"/>
    <mergeCell ref="G23:G24"/>
    <mergeCell ref="A26:A27"/>
    <mergeCell ref="B26:B27"/>
    <mergeCell ref="C26:C27"/>
    <mergeCell ref="D26:D27"/>
    <mergeCell ref="E26:E27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Dependencias</vt:lpstr>
      <vt:lpstr>Qtd_minima</vt:lpstr>
      <vt:lpstr>Qtd_minima!Titulos_de_impressao</vt:lpstr>
    </vt:vector>
  </TitlesOfParts>
  <Company>Cosern.net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lastPrinted>2014-04-13T19:26:33Z</cp:lastPrinted>
  <dcterms:created xsi:type="dcterms:W3CDTF">2014-03-20T15:42:00Z</dcterms:created>
  <dcterms:modified xsi:type="dcterms:W3CDTF">2015-04-09T20:52:06Z</dcterms:modified>
</cp:coreProperties>
</file>