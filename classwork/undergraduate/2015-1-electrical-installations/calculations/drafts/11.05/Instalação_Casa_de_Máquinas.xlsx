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media/image7.png" ContentType="image/png"/>
  <Override PartName="/xl/media/image8.png" ContentType="image/png"/>
  <Override PartName="/xl/worksheets/sheet3.xml" ContentType="application/vnd.openxmlformats-officedocument.spreadsheetml.worksheet+xml"/>
  <Override PartName="/xl/worksheets/_rels/sheet5.xml.rels" ContentType="application/vnd.openxmlformats-package.relationships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Demanda-Criterios" sheetId="1" state="visible" r:id="rId2"/>
    <sheet name="Qtd_minima" sheetId="2" state="visible" r:id="rId3"/>
    <sheet name="Comparações dos Criterios" sheetId="3" state="visible" r:id="rId4"/>
    <sheet name="Circuitos" sheetId="4" state="visible" r:id="rId5"/>
    <sheet name="Regras" sheetId="5" state="visible" r:id="rId6"/>
  </sheets>
  <definedNames>
    <definedName function="false" hidden="false" localSheetId="1" name="_xlnm.Print_Titles" vbProcedure="false">Qtd_minima!$1:$3</definedName>
    <definedName function="false" hidden="false" localSheetId="1" name="_xlnm.Print_Titles" vbProcedure="false">Qtd_minima!$1:$3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<sst xmlns="http://schemas.openxmlformats.org/spreadsheetml/2006/main" count="143" uniqueCount="110">
  <si>
    <t>Método COBEI</t>
  </si>
  <si>
    <t>Método IEC</t>
  </si>
  <si>
    <t>Descrição</t>
  </si>
  <si>
    <t>Potência Instalada</t>
  </si>
  <si>
    <t>Fp</t>
  </si>
  <si>
    <t>Potencia (W)</t>
  </si>
  <si>
    <t>Potência (W)</t>
  </si>
  <si>
    <t>Fator Demanda</t>
  </si>
  <si>
    <t>Demanda</t>
  </si>
  <si>
    <t>Observações</t>
  </si>
  <si>
    <t>Ilum</t>
  </si>
  <si>
    <t>TUG</t>
  </si>
  <si>
    <t>*</t>
  </si>
  <si>
    <t>(0,2* 5A * 200 V * 26 * 0,8)</t>
  </si>
  <si>
    <t>26 é a quantidade de tomadas</t>
  </si>
  <si>
    <t>TUE</t>
  </si>
  <si>
    <t>Aparelho de Cozinha</t>
  </si>
  <si>
    <t>Como é apenas 1 aparelho FD = 1</t>
  </si>
  <si>
    <t>Fator de demanda (g)</t>
  </si>
  <si>
    <t>Aquecimento de Água</t>
  </si>
  <si>
    <t>Aparelhos Eletrodoméstico Fixos ou Estacionários</t>
  </si>
  <si>
    <t>Demanda (D=(Pilum + Ptug)*g + Ptue)</t>
  </si>
  <si>
    <t>Aparelhos Ar Condicionado</t>
  </si>
  <si>
    <t>Demanda Total (W)</t>
  </si>
  <si>
    <t>Método NEC</t>
  </si>
  <si>
    <t>Área</t>
  </si>
  <si>
    <t>Densidade Potência (W/m2)</t>
  </si>
  <si>
    <t>Demanda Máxima (W)</t>
  </si>
  <si>
    <t>Cozinha</t>
  </si>
  <si>
    <t>Área de Serviço</t>
  </si>
  <si>
    <t>P(ilum+tug) (W)</t>
  </si>
  <si>
    <t>Fornos, Fogões, Secadoras de Roupa, Aquecedores de Ambiente, Ar-condicionado</t>
  </si>
  <si>
    <t>Total (W)</t>
  </si>
  <si>
    <t>Outros aparelhos fixos e estacionários</t>
  </si>
  <si>
    <t>Quantidade</t>
  </si>
  <si>
    <t>Potência</t>
  </si>
  <si>
    <t>Motor Elevador</t>
  </si>
  <si>
    <t>Chuveiros</t>
  </si>
  <si>
    <t>Demanda Total(W):</t>
  </si>
  <si>
    <t>INSTALAÇÃO MÍNIMA</t>
  </si>
  <si>
    <t>Dependencias</t>
  </si>
  <si>
    <t>Dimensões</t>
  </si>
  <si>
    <t>Iluminação</t>
  </si>
  <si>
    <t>TUGs</t>
  </si>
  <si>
    <t>TUEs</t>
  </si>
  <si>
    <t>Observação</t>
  </si>
  <si>
    <t>Área (m2)</t>
  </si>
  <si>
    <t>Perímetro (m)</t>
  </si>
  <si>
    <t>Qtd.</t>
  </si>
  <si>
    <t>Potência (VA)</t>
  </si>
  <si>
    <t>Potência(VA)</t>
  </si>
  <si>
    <t>Potência(W)</t>
  </si>
  <si>
    <t>Casa de Máquinas</t>
  </si>
  <si>
    <t>Motores</t>
  </si>
  <si>
    <t>Zelador</t>
  </si>
  <si>
    <t>BWC</t>
  </si>
  <si>
    <t>Chuveiro</t>
  </si>
  <si>
    <t>Escritório</t>
  </si>
  <si>
    <t>Total</t>
  </si>
  <si>
    <t>-</t>
  </si>
  <si>
    <t>Métodos</t>
  </si>
  <si>
    <t>Potência Instalada (W)</t>
  </si>
  <si>
    <t>COBEI</t>
  </si>
  <si>
    <t>IEC</t>
  </si>
  <si>
    <t>NEC</t>
  </si>
  <si>
    <t>Cálculo da Corrente (A)</t>
  </si>
  <si>
    <t>Ib</t>
  </si>
  <si>
    <t>CIRCUITOS DA INSTALAÇÃO</t>
  </si>
  <si>
    <t>Potência por fase (W)</t>
  </si>
  <si>
    <t>Nº do Circuito</t>
  </si>
  <si>
    <t>Secção</t>
  </si>
  <si>
    <t>Corrente Nominal (A)</t>
  </si>
  <si>
    <t>Pontos de Luz</t>
  </si>
  <si>
    <t>Proteção</t>
  </si>
  <si>
    <t>Fase</t>
  </si>
  <si>
    <t>Quant</t>
  </si>
  <si>
    <t>P (W)</t>
  </si>
  <si>
    <t>A</t>
  </si>
  <si>
    <t>B</t>
  </si>
  <si>
    <t>C</t>
  </si>
  <si>
    <t>Motor 1 Elevador 1</t>
  </si>
  <si>
    <t>Motor 2 Elevador 2</t>
  </si>
  <si>
    <t>Chuveiro BWC</t>
  </si>
  <si>
    <r>
      <t xml:space="preserve">Fatores de demanda para iluminação e tomadas de uso geral em unidades residenciais e acomodações de hotéis, motéis, similares.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FF0000"/>
        <rFont val="Calibri"/>
        <family val="2"/>
        <charset val="1"/>
      </rPr>
      <t xml:space="preserve">COBEI.</t>
    </r>
    <r>
      <rPr>
        <b val="true"/>
        <sz val="11"/>
        <rFont val="Calibri"/>
        <family val="2"/>
        <charset val="1"/>
      </rPr>
      <t xml:space="preserve"> p.163 4ed Cotrim</t>
    </r>
  </si>
  <si>
    <r>
      <t xml:space="preserve">Fatores de demanda para iluminação e tomadas de uso geral em prédios de apartamentos e conjuntos residenciais. </t>
    </r>
    <r>
      <rPr>
        <b val="true"/>
        <sz val="11"/>
        <color rgb="FFFF0000"/>
        <rFont val="Calibri"/>
        <family val="2"/>
        <charset val="1"/>
      </rPr>
      <t xml:space="preserve">COBEI</t>
    </r>
    <r>
      <rPr>
        <b val="true"/>
        <sz val="11"/>
        <color rgb="FF000000"/>
        <rFont val="Calibri"/>
        <family val="2"/>
        <charset val="1"/>
      </rPr>
      <t xml:space="preserve">. p.164 4ed Cotrim </t>
    </r>
  </si>
  <si>
    <r>
      <t xml:space="preserve">Fatores de demanda para equipamento de hidromassagem de uso residencial. </t>
    </r>
    <r>
      <rPr>
        <b val="true"/>
        <sz val="11"/>
        <color rgb="FFFF0000"/>
        <rFont val="Calibri"/>
        <family val="2"/>
        <charset val="1"/>
      </rPr>
      <t xml:space="preserve">COBEI</t>
    </r>
    <r>
      <rPr>
        <b val="true"/>
        <sz val="11"/>
        <color rgb="FF000000"/>
        <rFont val="Calibri"/>
        <family val="2"/>
        <charset val="1"/>
      </rPr>
      <t xml:space="preserve">. p.164 4ed Cotrim.</t>
    </r>
  </si>
  <si>
    <t>Potência - P(kW)</t>
  </si>
  <si>
    <t>Fator de demanda (%)</t>
  </si>
  <si>
    <t>0 &lt; P ≤ 1</t>
  </si>
  <si>
    <r>
      <t xml:space="preserve">Fatores de demanda para aparelhos de ar-condicionado (tipo janela ou centrais individuais) de uso residencial, aplicáveis a prédios de apartamentos. </t>
    </r>
    <r>
      <rPr>
        <b val="true"/>
        <sz val="11"/>
        <color rgb="FFFF0000"/>
        <rFont val="Calibri"/>
        <family val="2"/>
        <charset val="1"/>
      </rPr>
      <t xml:space="preserve">COBEI</t>
    </r>
    <r>
      <rPr>
        <b val="true"/>
        <sz val="11"/>
        <color rgb="FF000000"/>
        <rFont val="Calibri"/>
        <family val="2"/>
        <charset val="1"/>
      </rPr>
      <t xml:space="preserve">. p164 4ed Cotrim.</t>
    </r>
  </si>
  <si>
    <r>
      <t xml:space="preserve">Fatores de demanda para aparelhos de ar-condicionado (tipo janela ou centrais individuais) aplicáveis a prédios comerciais. </t>
    </r>
    <r>
      <rPr>
        <b val="true"/>
        <sz val="11"/>
        <color rgb="FFFF0000"/>
        <rFont val="Calibri"/>
        <family val="2"/>
        <charset val="1"/>
      </rPr>
      <t xml:space="preserve">COBEI</t>
    </r>
    <r>
      <rPr>
        <b val="true"/>
        <sz val="11"/>
        <color rgb="FF000000"/>
        <rFont val="Calibri"/>
        <family val="2"/>
        <charset val="1"/>
      </rPr>
      <t xml:space="preserve">. p165 4ed Cotrim.</t>
    </r>
  </si>
  <si>
    <t>1 &lt; P ≤ 2</t>
  </si>
  <si>
    <t>2 &lt; P ≤ 3</t>
  </si>
  <si>
    <t>3 &lt; P ≤ 4</t>
  </si>
  <si>
    <t>4 &lt; P ≤ 5</t>
  </si>
  <si>
    <t>5 &lt; P ≤ 6</t>
  </si>
  <si>
    <t>6 &lt; P ≤ 7</t>
  </si>
  <si>
    <r>
      <t xml:space="preserve">Fatores de demanda de alguns equipamentos de uso residencial. </t>
    </r>
    <r>
      <rPr>
        <b val="true"/>
        <sz val="11"/>
        <color rgb="FFFF0000"/>
        <rFont val="Calibri"/>
        <family val="2"/>
        <charset val="1"/>
      </rPr>
      <t xml:space="preserve">COBEI</t>
    </r>
    <r>
      <rPr>
        <b val="true"/>
        <sz val="11"/>
        <color rgb="FF000000"/>
        <rFont val="Calibri"/>
        <family val="2"/>
        <charset val="1"/>
      </rPr>
      <t xml:space="preserve">. p165 4ed Cotrim. </t>
    </r>
  </si>
  <si>
    <r>
      <t xml:space="preserve">Fatores de demanda para unidades residenciais e acomodações de hotéis, motéis e similares. </t>
    </r>
    <r>
      <rPr>
        <b val="true"/>
        <sz val="11"/>
        <color rgb="FFFF0000"/>
        <rFont val="Calibri"/>
        <family val="2"/>
        <charset val="1"/>
      </rPr>
      <t xml:space="preserve">IEC 64</t>
    </r>
    <r>
      <rPr>
        <b val="true"/>
        <sz val="11"/>
        <color rgb="FF000000"/>
        <rFont val="Calibri"/>
        <family val="2"/>
        <charset val="1"/>
      </rPr>
      <t xml:space="preserve">. p166 4ed Cotrim.</t>
    </r>
  </si>
  <si>
    <t>7 &lt; P ≤ 8</t>
  </si>
  <si>
    <t>8 &lt; P ≤ 9</t>
  </si>
  <si>
    <t>9 &lt; P ≤ 10</t>
  </si>
  <si>
    <t>Acima de 10</t>
  </si>
  <si>
    <r>
      <t xml:space="preserve">De acordo com a </t>
    </r>
    <r>
      <rPr>
        <b val="true"/>
        <sz val="11"/>
        <color rgb="FFFF0000"/>
        <rFont val="Calibri"/>
        <family val="2"/>
        <charset val="1"/>
      </rPr>
      <t xml:space="preserve">CESP</t>
    </r>
    <r>
      <rPr>
        <b val="true"/>
        <sz val="11"/>
        <rFont val="Calibri"/>
        <family val="2"/>
        <charset val="1"/>
      </rPr>
      <t xml:space="preserve">, fator de demanda global Residencial - p.163 4ed Cotrim</t>
    </r>
  </si>
  <si>
    <t>Administração de prédios de departamentos</t>
  </si>
  <si>
    <t>Até 100Kw
Acima de 100kW</t>
  </si>
  <si>
    <t>0,35
0,13</t>
  </si>
  <si>
    <t>Residencial (Residência. Colônia residencial, núcleo residencial).</t>
  </si>
  <si>
    <t>Até 200Kw
Acima de 200kW</t>
  </si>
  <si>
    <t>0,39
0,20</t>
  </si>
</sst>
</file>

<file path=xl/styles.xml><?xml version="1.0" encoding="utf-8"?>
<styleSheet xmlns="http://schemas.openxmlformats.org/spreadsheetml/2006/main">
  <numFmts count="3">
    <numFmt formatCode="GENERAL" numFmtId="164"/>
    <numFmt formatCode="0.0" numFmtId="165"/>
    <numFmt formatCode="0.00" numFmtId="166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4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  <font>
      <b val="true"/>
      <sz val="11"/>
      <color rgb="FFFF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AC090"/>
        <bgColor rgb="FFFF99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19">
    <border diagonalDown="false" diagonalUp="false">
      <left/>
      <right/>
      <top/>
      <bottom/>
      <diagonal/>
    </border>
    <border diagonalDown="false" diagonalUp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Down="false" diagonalUp="false">
      <left style="thin"/>
      <right style="thin"/>
      <top style="thin"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/>
      <right style="thin"/>
      <top style="thin"/>
      <bottom style="thin"/>
      <diagonal/>
    </border>
    <border diagonalDown="false" diagonalUp="false">
      <left style="thin"/>
      <right style="thin"/>
      <top/>
      <bottom/>
      <diagonal/>
    </border>
    <border diagonalDown="false" diagonalUp="false">
      <left style="thin"/>
      <right style="thin"/>
      <top/>
      <bottom style="thin"/>
      <diagonal/>
    </border>
    <border diagonalDown="false" diagonalUp="false">
      <left style="medium"/>
      <right style="thin"/>
      <top style="medium"/>
      <bottom style="thin"/>
      <diagonal/>
    </border>
    <border diagonalDown="false" diagonalUp="false">
      <left style="thin"/>
      <right style="medium"/>
      <top style="medium"/>
      <bottom/>
      <diagonal/>
    </border>
    <border diagonalDown="false" diagonalUp="false">
      <left/>
      <right/>
      <top style="medium"/>
      <bottom/>
      <diagonal/>
    </border>
    <border diagonalDown="false" diagonalUp="false">
      <left style="medium"/>
      <right style="thin"/>
      <top style="thin"/>
      <bottom style="thin"/>
      <diagonal/>
    </border>
    <border diagonalDown="false" diagonalUp="false">
      <left style="thin"/>
      <right style="medium"/>
      <top/>
      <bottom style="thin"/>
      <diagonal/>
    </border>
    <border diagonalDown="false" diagonalUp="false">
      <left style="thin"/>
      <right style="medium"/>
      <top style="thin"/>
      <bottom style="thin"/>
      <diagonal/>
    </border>
    <border diagonalDown="false" diagonalUp="false">
      <left style="medium"/>
      <right style="thin"/>
      <top style="thin"/>
      <bottom/>
      <diagonal/>
    </border>
    <border diagonalDown="false" diagonalUp="false">
      <left style="thin"/>
      <right style="medium"/>
      <top style="thin"/>
      <bottom style="medium"/>
      <diagonal/>
    </border>
    <border diagonalDown="false" diagonalUp="false">
      <left/>
      <right style="thin"/>
      <top style="thin"/>
      <bottom style="medium"/>
      <diagonal/>
    </border>
    <border diagonalDown="false" diagonalUp="false">
      <left style="thin"/>
      <right style="thin"/>
      <top style="thin"/>
      <bottom style="medium"/>
      <diagonal/>
    </border>
    <border diagonalDown="false" diagonalUp="false">
      <left style="thin"/>
      <right/>
      <top style="thin"/>
      <bottom style="thin"/>
      <diagonal/>
    </border>
    <border diagonalDown="false" diagonalUp="false">
      <left/>
      <right style="thin"/>
      <top/>
      <bottom style="thin"/>
      <diagonal/>
    </border>
  </borders>
  <cellStyleXfs count="21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true" applyFont="true" applyProtection="true" borderId="1" fillId="2" fontId="0" numFmtId="164">
      <alignment horizontal="general" indent="0" shrinkToFit="false" textRotation="0" vertical="bottom" wrapText="false"/>
      <protection hidden="false" locked="true"/>
    </xf>
  </cellStyleXfs>
  <cellXfs count="7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3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4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3" fillId="4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3" fillId="4" fontId="0" numFmtId="165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3" fillId="4" fontId="0" numFmtId="166" xfId="0">
      <alignment horizontal="center" indent="0" shrinkToFit="false" textRotation="0" vertical="center" wrapText="false"/>
      <protection hidden="false" locked="true"/>
    </xf>
    <xf applyAlignment="true" applyBorder="false" applyFont="true" applyProtection="false" borderId="0" fillId="0" fontId="5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4" fillId="4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4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2" fillId="4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4" fontId="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3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5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5" fillId="0" fontId="0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6" fillId="0" fontId="7" numFmtId="166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6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6" fillId="0" fontId="0" numFmtId="165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7" fillId="0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8" fillId="4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9" fillId="0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0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0" fontId="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1" fillId="0" fontId="6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2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4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3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2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4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5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16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0" fillId="0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0" fontId="0" numFmtId="166" xfId="0">
      <alignment horizontal="center" indent="0" shrinkToFit="false" textRotation="0" vertical="center" wrapText="false"/>
      <protection hidden="false" locked="true"/>
    </xf>
    <xf applyAlignment="false" applyBorder="false" applyFont="false" applyProtection="false" borderId="0" fillId="5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3" fontId="8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7" fillId="3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3" fillId="2" fontId="5" numFmtId="164" xfId="20">
      <alignment horizontal="general" indent="0" shrinkToFit="false" textRotation="0" vertical="bottom" wrapText="true"/>
      <protection hidden="false" locked="true"/>
    </xf>
    <xf applyAlignment="true" applyBorder="true" applyFont="true" applyProtection="true" borderId="3" fillId="2" fontId="0" numFmtId="164" xfId="20">
      <alignment horizontal="center" indent="0" shrinkToFit="false" textRotation="0" vertical="bottom" wrapText="true"/>
      <protection hidden="false" locked="true"/>
    </xf>
    <xf applyAlignment="true" applyBorder="true" applyFont="true" applyProtection="true" borderId="3" fillId="2" fontId="0" numFmtId="166" xfId="20">
      <alignment horizontal="center" indent="0" shrinkToFit="false" textRotation="0" vertical="bottom" wrapText="true"/>
      <protection hidden="false" locked="true"/>
    </xf>
    <xf applyAlignment="true" applyBorder="true" applyFont="false" applyProtection="false" borderId="4" fillId="2" fontId="0" numFmtId="164" xfId="0">
      <alignment horizontal="center" indent="0" shrinkToFit="false" textRotation="0" vertical="center" wrapText="false"/>
      <protection hidden="false" locked="true"/>
    </xf>
    <xf applyAlignment="true" applyBorder="true" applyFont="false" applyProtection="false" borderId="3" fillId="2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2" fontId="0" numFmtId="164" xfId="0">
      <alignment horizontal="center" indent="0" shrinkToFit="false" textRotation="0" vertical="bottom" wrapText="false"/>
      <protection hidden="false" locked="true"/>
    </xf>
    <xf applyAlignment="false" applyBorder="true" applyFont="false" applyProtection="false" borderId="3" fillId="2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3" fillId="2" fontId="0" numFmtId="164" xfId="20">
      <alignment horizontal="general" indent="0" shrinkToFit="false" textRotation="0" vertical="bottom" wrapText="true"/>
      <protection hidden="false" locked="true"/>
    </xf>
    <xf applyAlignment="true" applyBorder="true" applyFont="true" applyProtection="true" borderId="6" fillId="2" fontId="6" numFmtId="164" xfId="20">
      <alignment horizontal="general" indent="0" shrinkToFit="false" textRotation="0" vertical="bottom" wrapText="true"/>
      <protection hidden="false" locked="true"/>
    </xf>
    <xf applyAlignment="true" applyBorder="true" applyFont="true" applyProtection="true" borderId="6" fillId="2" fontId="6" numFmtId="166" xfId="20">
      <alignment horizontal="center" indent="0" shrinkToFit="false" textRotation="0" vertical="bottom" wrapText="true"/>
      <protection hidden="false" locked="true"/>
    </xf>
    <xf applyAlignment="true" applyBorder="true" applyFont="true" applyProtection="true" borderId="6" fillId="2" fontId="6" numFmtId="164" xfId="2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18" fillId="2" fontId="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6" fillId="2" fontId="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6" fillId="2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3" fillId="3" fontId="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3" fontId="0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0" fontId="0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3" fillId="0" fontId="0" numFmtId="164" xfId="0">
      <alignment horizontal="center" indent="0" shrinkToFit="false" textRotation="0" vertical="bottom" wrapText="false"/>
      <protection hidden="false" locked="true"/>
    </xf>
    <xf applyAlignment="true" applyBorder="true" applyFont="false" applyProtection="false" borderId="3" fillId="0" fontId="0" numFmtId="166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center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6" xfId="0">
      <alignment horizontal="center" indent="0" shrinkToFit="false" textRotation="0" vertical="bottom" wrapText="false"/>
      <protection hidden="false" locked="true"/>
    </xf>
    <xf applyAlignment="true" applyBorder="false" applyFont="false" applyProtection="false" borderId="0" fillId="5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7" fillId="3" fontId="9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3" fontId="4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3" fillId="3" fontId="6" numFmtId="164" xfId="0">
      <alignment horizontal="center" indent="0" shrinkToFit="false" textRotation="0" vertical="bottom" wrapText="false"/>
      <protection hidden="false" locked="true"/>
    </xf>
    <xf applyAlignment="true" applyBorder="false" applyFont="true" applyProtection="false" borderId="0" fillId="0" fontId="10" numFmtId="164" xfId="0">
      <alignment horizontal="center" indent="0" shrinkToFit="false" textRotation="0" vertical="center" wrapText="tru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false" applyProtection="false" borderId="3" fillId="4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false" applyProtection="false" borderId="0" fillId="5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1" numFmtId="164" xfId="0">
      <alignment horizontal="general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3" fillId="0" fontId="6" numFmtId="164" xfId="0">
      <alignment horizontal="center" indent="0" shrinkToFit="false" textRotation="0" vertical="center" wrapText="true"/>
      <protection hidden="false" locked="true"/>
    </xf>
    <xf applyAlignment="true" applyBorder="true" applyFont="false" applyProtection="false" borderId="0" fillId="0" fontId="0" numFmtId="164" xfId="0">
      <alignment horizontal="center" indent="0" shrinkToFit="false" textRotation="0" vertical="center" wrapText="true"/>
      <protection hidden="false" locked="true"/>
    </xf>
    <xf applyAlignment="true" applyBorder="false" applyFont="true" applyProtection="false" borderId="0" fillId="0" fontId="6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3" fillId="0" fontId="0" numFmtId="164" xfId="0">
      <alignment horizontal="center" indent="0" shrinkToFit="false" textRotation="0" vertical="center" wrapText="true"/>
      <protection hidden="false" locked="true"/>
    </xf>
  </cellXfs>
  <cellStyles count="7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4" customBuiltin="true" name="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3</xdr:col>
      <xdr:colOff>148320</xdr:colOff>
      <xdr:row>12</xdr:row>
      <xdr:rowOff>174240</xdr:rowOff>
    </xdr:from>
    <xdr:to>
      <xdr:col>4</xdr:col>
      <xdr:colOff>2025360</xdr:colOff>
      <xdr:row>17</xdr:row>
      <xdr:rowOff>527040</xdr:rowOff>
    </xdr:to>
    <xdr:pic>
      <xdr:nvPicPr>
        <xdr:cNvPr descr="" id="0" name="Imagem 1"/>
        <xdr:cNvPicPr/>
      </xdr:nvPicPr>
      <xdr:blipFill>
        <a:blip r:embed="rId1"/>
        <a:stretch>
          <a:fillRect/>
        </a:stretch>
      </xdr:blipFill>
      <xdr:spPr>
        <a:xfrm>
          <a:off x="3594960" y="3031560"/>
          <a:ext cx="4457520" cy="1886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107640</xdr:colOff>
      <xdr:row>18</xdr:row>
      <xdr:rowOff>109800</xdr:rowOff>
    </xdr:from>
    <xdr:to>
      <xdr:col>4</xdr:col>
      <xdr:colOff>523440</xdr:colOff>
      <xdr:row>36</xdr:row>
      <xdr:rowOff>182160</xdr:rowOff>
    </xdr:to>
    <xdr:pic>
      <xdr:nvPicPr>
        <xdr:cNvPr descr="" id="1" name="Imagem 2"/>
        <xdr:cNvPicPr/>
      </xdr:nvPicPr>
      <xdr:blipFill>
        <a:blip r:embed="rId2"/>
        <a:stretch>
          <a:fillRect/>
        </a:stretch>
      </xdr:blipFill>
      <xdr:spPr>
        <a:xfrm>
          <a:off x="107640" y="5262480"/>
          <a:ext cx="6442920" cy="35013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M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G28" activeCellId="0" pane="topLeft" sqref="G28"/>
    </sheetView>
  </sheetViews>
  <sheetFormatPr defaultRowHeight="15"/>
  <cols>
    <col collapsed="false" hidden="false" max="1" min="1" style="0" width="4.28571428571429"/>
    <col collapsed="false" hidden="false" max="2" min="2" style="0" width="18.5765306122449"/>
    <col collapsed="false" hidden="false" max="3" min="3" style="0" width="13.0051020408163"/>
    <col collapsed="false" hidden="false" max="4" min="4" style="0" width="10"/>
    <col collapsed="false" hidden="false" max="5" min="5" style="0" width="11.8622448979592"/>
    <col collapsed="false" hidden="false" max="6" min="6" style="0" width="12.5714285714286"/>
    <col collapsed="false" hidden="false" max="7" min="7" style="0" width="24.8571428571429"/>
    <col collapsed="false" hidden="false" max="8" min="8" style="0" width="12.4183673469388"/>
    <col collapsed="false" hidden="false" max="9" min="9" style="0" width="14.280612244898"/>
    <col collapsed="false" hidden="false" max="10" min="10" style="0" width="13.4285714285714"/>
    <col collapsed="false" hidden="false" max="11" min="11" style="0" width="2.85204081632653"/>
    <col collapsed="false" hidden="false" max="12" min="12" style="0" width="32.4234693877551"/>
    <col collapsed="false" hidden="false" max="13" min="13" style="0" width="29.8622448979592"/>
    <col collapsed="false" hidden="false" max="14" min="14" style="1" width="9.14285714285714"/>
    <col collapsed="false" hidden="false" max="15" min="15" style="1" width="10.2857142857143"/>
    <col collapsed="false" hidden="false" max="16" min="16" style="1" width="13.5714285714286"/>
    <col collapsed="false" hidden="false" max="17" min="17" style="1" width="11.4183673469388"/>
    <col collapsed="false" hidden="false" max="1025" min="18" style="1" width="9.14285714285714"/>
  </cols>
  <sheetData>
    <row collapsed="false" customFormat="false" customHeight="true" hidden="false" ht="23.25" outlineLevel="0" r="2">
      <c r="B2" s="2" t="s">
        <v>0</v>
      </c>
      <c r="C2" s="2"/>
      <c r="D2" s="2"/>
      <c r="E2" s="2"/>
      <c r="G2" s="2" t="s">
        <v>1</v>
      </c>
      <c r="H2" s="2"/>
      <c r="I2" s="2"/>
      <c r="J2" s="2"/>
    </row>
    <row collapsed="false" customFormat="false" customHeight="true" hidden="false" ht="30.75" outlineLevel="0" r="3">
      <c r="B3" s="3" t="s">
        <v>2</v>
      </c>
      <c r="C3" s="4" t="s">
        <v>3</v>
      </c>
      <c r="D3" s="5" t="s">
        <v>4</v>
      </c>
      <c r="E3" s="5" t="s">
        <v>5</v>
      </c>
      <c r="G3" s="3" t="s">
        <v>2</v>
      </c>
      <c r="H3" s="5" t="s">
        <v>6</v>
      </c>
      <c r="I3" s="5" t="s">
        <v>7</v>
      </c>
      <c r="J3" s="5" t="s">
        <v>8</v>
      </c>
      <c r="L3" s="1" t="s">
        <v>9</v>
      </c>
    </row>
    <row collapsed="false" customFormat="false" customHeight="false" hidden="false" ht="15" outlineLevel="0" r="4">
      <c r="B4" s="5" t="s">
        <v>10</v>
      </c>
      <c r="C4" s="5" t="n">
        <v>600</v>
      </c>
      <c r="D4" s="6" t="n">
        <v>1</v>
      </c>
      <c r="E4" s="5" t="n">
        <f aca="false">D4*C4</f>
        <v>600</v>
      </c>
      <c r="G4" s="5" t="s">
        <v>10</v>
      </c>
      <c r="H4" s="5" t="n">
        <v>600</v>
      </c>
      <c r="I4" s="5" t="n">
        <v>0.66</v>
      </c>
      <c r="J4" s="5" t="n">
        <f aca="false">H4*I4</f>
        <v>396</v>
      </c>
    </row>
    <row collapsed="false" customFormat="false" customHeight="false" hidden="false" ht="15" outlineLevel="0" r="5">
      <c r="B5" s="5" t="s">
        <v>11</v>
      </c>
      <c r="C5" s="5" t="n">
        <v>900</v>
      </c>
      <c r="D5" s="5" t="n">
        <v>0.8</v>
      </c>
      <c r="E5" s="5" t="n">
        <f aca="false">D5*C5</f>
        <v>720</v>
      </c>
      <c r="G5" s="3" t="s">
        <v>11</v>
      </c>
      <c r="H5" s="5" t="n">
        <v>900</v>
      </c>
      <c r="I5" s="5" t="n">
        <v>0.2</v>
      </c>
      <c r="J5" s="7" t="n">
        <f aca="false">SUM(I5*5*200*9*0.8)</f>
        <v>1440</v>
      </c>
      <c r="K5" s="8" t="s">
        <v>12</v>
      </c>
      <c r="L5" s="1" t="s">
        <v>13</v>
      </c>
      <c r="M5" s="1" t="s">
        <v>14</v>
      </c>
    </row>
    <row collapsed="false" customFormat="false" customHeight="true" hidden="false" ht="15" outlineLevel="0" r="6">
      <c r="B6" s="5" t="s">
        <v>15</v>
      </c>
      <c r="C6" s="5" t="n">
        <v>17040</v>
      </c>
      <c r="D6" s="6" t="n">
        <v>1</v>
      </c>
      <c r="E6" s="5" t="n">
        <f aca="false">D6*C6</f>
        <v>17040</v>
      </c>
      <c r="G6" s="5" t="s">
        <v>16</v>
      </c>
      <c r="H6" s="5" t="n">
        <v>0</v>
      </c>
      <c r="I6" s="6" t="n">
        <v>1</v>
      </c>
      <c r="J6" s="5" t="n">
        <f aca="false">H6*I6</f>
        <v>0</v>
      </c>
      <c r="K6" s="8" t="s">
        <v>12</v>
      </c>
      <c r="L6" s="1" t="s">
        <v>17</v>
      </c>
    </row>
    <row collapsed="false" customFormat="false" customHeight="true" hidden="false" ht="15" outlineLevel="0" r="7">
      <c r="B7" s="4" t="s">
        <v>18</v>
      </c>
      <c r="C7" s="4"/>
      <c r="D7" s="9" t="n">
        <v>0.75</v>
      </c>
      <c r="E7" s="9"/>
      <c r="G7" s="5" t="s">
        <v>19</v>
      </c>
      <c r="H7" s="5" t="n">
        <v>6000</v>
      </c>
      <c r="I7" s="5" t="n">
        <v>0.5</v>
      </c>
      <c r="J7" s="5" t="n">
        <f aca="false">H7*I7</f>
        <v>3000</v>
      </c>
    </row>
    <row collapsed="false" customFormat="false" customHeight="false" hidden="false" ht="45" outlineLevel="0" r="8">
      <c r="B8" s="4"/>
      <c r="C8" s="4"/>
      <c r="D8" s="9"/>
      <c r="E8" s="9"/>
      <c r="G8" s="10" t="s">
        <v>20</v>
      </c>
      <c r="H8" s="5" t="n">
        <v>11040</v>
      </c>
      <c r="I8" s="5" t="n">
        <v>0.7</v>
      </c>
      <c r="J8" s="5" t="n">
        <f aca="false">H8*I8</f>
        <v>7728</v>
      </c>
    </row>
    <row collapsed="false" customFormat="false" customHeight="true" hidden="false" ht="21.75" outlineLevel="0" r="9">
      <c r="B9" s="11" t="s">
        <v>21</v>
      </c>
      <c r="C9" s="11"/>
      <c r="D9" s="11"/>
      <c r="E9" s="11"/>
      <c r="G9" s="5" t="s">
        <v>22</v>
      </c>
      <c r="H9" s="5" t="n">
        <v>2400</v>
      </c>
      <c r="I9" s="5" t="n">
        <v>0.8</v>
      </c>
      <c r="J9" s="5" t="n">
        <f aca="false">H9*I9</f>
        <v>1920</v>
      </c>
    </row>
    <row collapsed="false" customFormat="false" customHeight="false" hidden="false" ht="15" outlineLevel="0" r="10">
      <c r="B10" s="12" t="s">
        <v>23</v>
      </c>
      <c r="C10" s="12"/>
      <c r="D10" s="7" t="n">
        <f aca="false">(E4+E5)*D7+E6</f>
        <v>18030</v>
      </c>
      <c r="E10" s="7"/>
      <c r="G10" s="12" t="s">
        <v>23</v>
      </c>
      <c r="H10" s="5"/>
      <c r="I10" s="5"/>
      <c r="J10" s="5" t="n">
        <f aca="false">SUM(J4:J9)</f>
        <v>14484</v>
      </c>
    </row>
    <row collapsed="false" customFormat="false" customHeight="true" hidden="false" ht="27" outlineLevel="0" r="15">
      <c r="B15" s="13" t="s">
        <v>24</v>
      </c>
      <c r="C15" s="13"/>
      <c r="D15" s="13"/>
      <c r="E15" s="13"/>
      <c r="F15" s="13"/>
      <c r="G15" s="13"/>
      <c r="H15" s="13"/>
      <c r="I15" s="13"/>
    </row>
    <row collapsed="false" customFormat="false" customHeight="false" hidden="false" ht="15" outlineLevel="0" r="16">
      <c r="B16" s="14" t="s">
        <v>25</v>
      </c>
      <c r="C16" s="14"/>
      <c r="D16" s="15" t="s">
        <v>26</v>
      </c>
      <c r="E16" s="15"/>
      <c r="F16" s="15"/>
      <c r="G16" s="15"/>
      <c r="H16" s="15" t="s">
        <v>27</v>
      </c>
      <c r="I16" s="15"/>
    </row>
    <row collapsed="false" customFormat="false" customHeight="false" hidden="false" ht="15" outlineLevel="0" r="17">
      <c r="B17" s="14" t="n">
        <v>32.29</v>
      </c>
      <c r="C17" s="14"/>
      <c r="D17" s="16" t="n">
        <f aca="false">SUM(32*B17)</f>
        <v>1033.28</v>
      </c>
      <c r="E17" s="16"/>
      <c r="F17" s="16"/>
      <c r="G17" s="16"/>
      <c r="H17" s="15"/>
      <c r="I17" s="15"/>
    </row>
    <row collapsed="false" customFormat="false" customHeight="false" hidden="false" ht="15" outlineLevel="0" r="18">
      <c r="B18" s="14" t="s">
        <v>28</v>
      </c>
      <c r="C18" s="14"/>
      <c r="D18" s="16" t="n">
        <v>0</v>
      </c>
      <c r="E18" s="16"/>
      <c r="F18" s="16"/>
      <c r="G18" s="16"/>
      <c r="H18" s="17" t="n">
        <f aca="false">SUM((D20-3000)*0.35+3000)</f>
        <v>2311.648</v>
      </c>
      <c r="I18" s="17"/>
    </row>
    <row collapsed="false" customFormat="false" customHeight="false" hidden="false" ht="14.9" outlineLevel="0" r="19">
      <c r="B19" s="14" t="s">
        <v>29</v>
      </c>
      <c r="C19" s="14"/>
      <c r="D19" s="16" t="n">
        <v>0</v>
      </c>
      <c r="E19" s="16"/>
      <c r="F19" s="16"/>
      <c r="G19" s="16"/>
      <c r="H19" s="17"/>
      <c r="I19" s="17"/>
    </row>
    <row collapsed="false" customFormat="false" customHeight="false" hidden="false" ht="15" outlineLevel="0" r="20">
      <c r="B20" s="18" t="s">
        <v>30</v>
      </c>
      <c r="C20" s="18"/>
      <c r="D20" s="19" t="n">
        <f aca="false">SUM(D17:F19)</f>
        <v>1033.28</v>
      </c>
      <c r="E20" s="19"/>
      <c r="F20" s="19"/>
      <c r="G20" s="19"/>
      <c r="H20" s="17"/>
      <c r="I20" s="17"/>
    </row>
    <row collapsed="false" customFormat="false" customHeight="false" hidden="false" ht="15.75" outlineLevel="0" r="21"/>
    <row collapsed="false" customFormat="false" customHeight="true" hidden="false" ht="15" outlineLevel="0" r="22">
      <c r="B22" s="20" t="s">
        <v>31</v>
      </c>
      <c r="C22" s="20"/>
      <c r="D22" s="20"/>
      <c r="E22" s="21" t="s">
        <v>32</v>
      </c>
      <c r="F22" s="22" t="s">
        <v>33</v>
      </c>
      <c r="G22" s="22"/>
      <c r="H22" s="22"/>
      <c r="I22" s="4" t="s">
        <v>32</v>
      </c>
    </row>
    <row collapsed="false" customFormat="false" customHeight="false" hidden="false" ht="15" outlineLevel="0" r="23">
      <c r="B23" s="20"/>
      <c r="C23" s="20"/>
      <c r="D23" s="20"/>
      <c r="E23" s="21"/>
      <c r="F23" s="22"/>
      <c r="G23" s="22"/>
      <c r="H23" s="22"/>
      <c r="I23" s="4"/>
    </row>
    <row collapsed="false" customFormat="false" customHeight="false" hidden="false" ht="15" outlineLevel="0" r="24">
      <c r="B24" s="20"/>
      <c r="C24" s="20"/>
      <c r="D24" s="20"/>
      <c r="E24" s="21"/>
      <c r="F24" s="22"/>
      <c r="G24" s="22"/>
      <c r="H24" s="22"/>
      <c r="I24" s="4"/>
    </row>
    <row collapsed="false" customFormat="false" customHeight="false" hidden="false" ht="15" outlineLevel="0" r="25">
      <c r="B25" s="20"/>
      <c r="C25" s="20"/>
      <c r="D25" s="20"/>
      <c r="E25" s="21"/>
      <c r="F25" s="22"/>
      <c r="G25" s="22"/>
      <c r="H25" s="22"/>
      <c r="I25" s="4"/>
    </row>
    <row collapsed="false" customFormat="false" customHeight="false" hidden="false" ht="15" outlineLevel="0" r="26">
      <c r="B26" s="23" t="s">
        <v>2</v>
      </c>
      <c r="C26" s="3" t="s">
        <v>34</v>
      </c>
      <c r="D26" s="3" t="s">
        <v>35</v>
      </c>
      <c r="E26" s="24" t="n">
        <f aca="false">SUM(E27:E27)</f>
        <v>11040</v>
      </c>
      <c r="F26" s="23" t="s">
        <v>2</v>
      </c>
      <c r="G26" s="3" t="s">
        <v>34</v>
      </c>
      <c r="H26" s="3" t="s">
        <v>35</v>
      </c>
      <c r="I26" s="25" t="n">
        <f aca="false">SUM(I27:I40)</f>
        <v>6000</v>
      </c>
    </row>
    <row collapsed="false" customFormat="false" customHeight="false" hidden="false" ht="14.9" outlineLevel="0" r="27">
      <c r="B27" s="23" t="s">
        <v>36</v>
      </c>
      <c r="C27" s="3" t="n">
        <v>2</v>
      </c>
      <c r="D27" s="3" t="n">
        <v>5520</v>
      </c>
      <c r="E27" s="26" t="n">
        <f aca="false">D27*C27</f>
        <v>11040</v>
      </c>
      <c r="F27" s="27" t="s">
        <v>37</v>
      </c>
      <c r="G27" s="3" t="n">
        <v>1</v>
      </c>
      <c r="H27" s="3" t="n">
        <v>6000</v>
      </c>
      <c r="I27" s="26" t="n">
        <f aca="false">H27*G27</f>
        <v>6000</v>
      </c>
    </row>
    <row collapsed="false" customFormat="false" customHeight="false" hidden="false" ht="15.75" outlineLevel="0" r="28">
      <c r="B28" s="28"/>
      <c r="C28" s="29"/>
      <c r="D28" s="29"/>
      <c r="E28" s="30"/>
      <c r="F28" s="31"/>
      <c r="G28" s="32"/>
      <c r="H28" s="32"/>
      <c r="I28" s="30"/>
    </row>
    <row collapsed="false" customFormat="false" customHeight="false" hidden="false" ht="15" outlineLevel="0" r="29">
      <c r="A29" s="33"/>
      <c r="B29" s="24" t="s">
        <v>38</v>
      </c>
      <c r="C29" s="34" t="n">
        <f aca="false">SUM(H18+E26+I26)</f>
        <v>19351.648</v>
      </c>
      <c r="D29" s="34"/>
    </row>
    <row collapsed="false" customFormat="false" customHeight="false" hidden="false" ht="15" outlineLevel="0" r="30">
      <c r="A30" s="33"/>
      <c r="B30" s="24"/>
      <c r="C30" s="34"/>
      <c r="D30" s="34"/>
      <c r="E30" s="33"/>
      <c r="F30" s="33"/>
      <c r="G30" s="33"/>
      <c r="H30" s="33"/>
      <c r="I30" s="33"/>
      <c r="J30" s="33"/>
    </row>
  </sheetData>
  <mergeCells count="26">
    <mergeCell ref="B2:E2"/>
    <mergeCell ref="G2:J2"/>
    <mergeCell ref="B7:C8"/>
    <mergeCell ref="D7:E8"/>
    <mergeCell ref="B9:E9"/>
    <mergeCell ref="B10:C10"/>
    <mergeCell ref="D10:E10"/>
    <mergeCell ref="B15:I15"/>
    <mergeCell ref="B16:C16"/>
    <mergeCell ref="D16:G16"/>
    <mergeCell ref="H16:I17"/>
    <mergeCell ref="B17:C17"/>
    <mergeCell ref="D17:G17"/>
    <mergeCell ref="B18:C18"/>
    <mergeCell ref="D18:G18"/>
    <mergeCell ref="H18:I20"/>
    <mergeCell ref="B19:C19"/>
    <mergeCell ref="D19:G19"/>
    <mergeCell ref="B20:C20"/>
    <mergeCell ref="D20:G20"/>
    <mergeCell ref="B22:D25"/>
    <mergeCell ref="E22:E25"/>
    <mergeCell ref="F22:H25"/>
    <mergeCell ref="I22:I25"/>
    <mergeCell ref="B29:B30"/>
    <mergeCell ref="C29:D30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colorId="64" defaultGridColor="true" rightToLeft="false" showFormulas="false" showGridLines="true" showOutlineSymbols="true" showRowColHeaders="true" showZeros="true" tabSelected="false" topLeftCell="A1" view="normal" windowProtection="true" workbookViewId="0" zoomScale="115" zoomScaleNormal="115" zoomScalePageLayoutView="100">
      <pane activePane="bottomLeft" state="frozen" topLeftCell="A4" xSplit="0" ySplit="3"/>
      <selection activeCell="A1" activeCellId="0" pane="topLeft" sqref="A1"/>
      <selection activeCell="A26" activeCellId="0" pane="bottomLeft" sqref="A26"/>
    </sheetView>
  </sheetViews>
  <sheetFormatPr defaultRowHeight="14.05"/>
  <cols>
    <col collapsed="false" hidden="false" max="1" min="1" style="0" width="20.7091836734694"/>
    <col collapsed="false" hidden="false" max="2" min="2" style="0" width="9.85204081632653"/>
    <col collapsed="false" hidden="false" max="3" min="3" style="0" width="13.1377551020408"/>
    <col collapsed="false" hidden="false" max="4" min="4" style="0" width="5.70408163265306"/>
    <col collapsed="false" hidden="false" max="5" min="5" style="0" width="13.2857142857143"/>
    <col collapsed="false" hidden="false" max="6" min="6" style="0" width="5.70408163265306"/>
    <col collapsed="false" hidden="false" max="7" min="7" style="0" width="12.7091836734694"/>
    <col collapsed="false" hidden="false" max="8" min="8" style="0" width="5.70408163265306"/>
    <col collapsed="false" hidden="false" max="9" min="9" style="0" width="11.9948979591837"/>
    <col collapsed="false" hidden="false" max="10" min="10" style="0" width="23.7142857142857"/>
    <col collapsed="false" hidden="false" max="1025" min="11" style="35" width="9.14285714285714"/>
  </cols>
  <sheetData>
    <row collapsed="false" customFormat="false" customHeight="true" hidden="false" ht="30.75" outlineLevel="0" r="1">
      <c r="A1" s="36" t="s">
        <v>39</v>
      </c>
      <c r="B1" s="36"/>
      <c r="C1" s="36"/>
      <c r="D1" s="36"/>
      <c r="E1" s="36"/>
      <c r="F1" s="36"/>
      <c r="G1" s="36"/>
      <c r="H1" s="36"/>
      <c r="I1" s="36"/>
      <c r="J1" s="36"/>
    </row>
    <row collapsed="false" customFormat="false" customHeight="false" hidden="false" ht="14.9" outlineLevel="0" r="2">
      <c r="A2" s="2" t="s">
        <v>40</v>
      </c>
      <c r="B2" s="37" t="s">
        <v>41</v>
      </c>
      <c r="C2" s="37"/>
      <c r="D2" s="13" t="s">
        <v>42</v>
      </c>
      <c r="E2" s="13"/>
      <c r="F2" s="13" t="s">
        <v>43</v>
      </c>
      <c r="G2" s="13"/>
      <c r="H2" s="13" t="s">
        <v>44</v>
      </c>
      <c r="I2" s="13"/>
      <c r="J2" s="13" t="s">
        <v>45</v>
      </c>
    </row>
    <row collapsed="false" customFormat="false" customHeight="false" hidden="false" ht="14.9" outlineLevel="0" r="3">
      <c r="A3" s="2"/>
      <c r="B3" s="2" t="s">
        <v>46</v>
      </c>
      <c r="C3" s="2" t="s">
        <v>47</v>
      </c>
      <c r="D3" s="2" t="s">
        <v>48</v>
      </c>
      <c r="E3" s="2" t="s">
        <v>49</v>
      </c>
      <c r="F3" s="2" t="s">
        <v>48</v>
      </c>
      <c r="G3" s="2" t="s">
        <v>50</v>
      </c>
      <c r="H3" s="13" t="s">
        <v>48</v>
      </c>
      <c r="I3" s="13" t="s">
        <v>51</v>
      </c>
      <c r="J3" s="13"/>
    </row>
    <row collapsed="false" customFormat="false" customHeight="false" hidden="false" ht="14.9" outlineLevel="0" r="4">
      <c r="A4" s="38" t="s">
        <v>52</v>
      </c>
      <c r="B4" s="39" t="n">
        <v>11.24</v>
      </c>
      <c r="C4" s="40" t="n">
        <v>13.7</v>
      </c>
      <c r="D4" s="39" t="n">
        <v>2</v>
      </c>
      <c r="E4" s="39" t="n">
        <v>200</v>
      </c>
      <c r="F4" s="39" t="n">
        <v>3</v>
      </c>
      <c r="G4" s="39" t="n">
        <v>300</v>
      </c>
      <c r="H4" s="41" t="n">
        <v>2</v>
      </c>
      <c r="I4" s="42" t="n">
        <v>11040</v>
      </c>
      <c r="J4" s="43" t="s">
        <v>53</v>
      </c>
    </row>
    <row collapsed="false" customFormat="false" customHeight="false" hidden="false" ht="14.9" outlineLevel="0" r="5">
      <c r="A5" s="38" t="s">
        <v>54</v>
      </c>
      <c r="B5" s="39" t="n">
        <v>13.57</v>
      </c>
      <c r="C5" s="40" t="n">
        <v>18.63</v>
      </c>
      <c r="D5" s="39" t="n">
        <v>2</v>
      </c>
      <c r="E5" s="39" t="n">
        <v>200</v>
      </c>
      <c r="F5" s="39" t="n">
        <v>4</v>
      </c>
      <c r="G5" s="39" t="n">
        <v>400</v>
      </c>
      <c r="H5" s="41"/>
      <c r="I5" s="42"/>
      <c r="J5" s="44"/>
    </row>
    <row collapsed="false" customFormat="false" customHeight="false" hidden="false" ht="14.9" outlineLevel="0" r="6">
      <c r="A6" s="45" t="s">
        <v>55</v>
      </c>
      <c r="B6" s="39" t="n">
        <v>2.48</v>
      </c>
      <c r="C6" s="39" t="n">
        <v>6.3</v>
      </c>
      <c r="D6" s="39" t="n">
        <v>1</v>
      </c>
      <c r="E6" s="39" t="n">
        <v>100</v>
      </c>
      <c r="F6" s="39" t="n">
        <v>1</v>
      </c>
      <c r="G6" s="39" t="n">
        <v>100</v>
      </c>
      <c r="H6" s="41" t="n">
        <v>1</v>
      </c>
      <c r="I6" s="42" t="n">
        <v>6000</v>
      </c>
      <c r="J6" s="43" t="s">
        <v>56</v>
      </c>
    </row>
    <row collapsed="false" customFormat="false" customHeight="false" hidden="false" ht="14.9" outlineLevel="0" r="7">
      <c r="A7" s="45" t="s">
        <v>57</v>
      </c>
      <c r="B7" s="39" t="n">
        <v>5</v>
      </c>
      <c r="C7" s="39" t="n">
        <v>9</v>
      </c>
      <c r="D7" s="39" t="n">
        <v>1</v>
      </c>
      <c r="E7" s="39" t="n">
        <v>100</v>
      </c>
      <c r="F7" s="39" t="n">
        <v>1</v>
      </c>
      <c r="G7" s="39" t="n">
        <v>100</v>
      </c>
      <c r="H7" s="41"/>
      <c r="I7" s="42"/>
      <c r="J7" s="44"/>
    </row>
    <row collapsed="false" customFormat="false" customHeight="false" hidden="false" ht="14.9" outlineLevel="0" r="8">
      <c r="A8" s="46" t="s">
        <v>58</v>
      </c>
      <c r="B8" s="47" t="n">
        <f aca="false">SUM(B4:B7)</f>
        <v>32.29</v>
      </c>
      <c r="C8" s="47" t="n">
        <f aca="false">SUM(C4:C7)</f>
        <v>47.63</v>
      </c>
      <c r="D8" s="48" t="n">
        <f aca="false">SUM(D4:D7)</f>
        <v>6</v>
      </c>
      <c r="E8" s="48" t="n">
        <f aca="false">SUM(E4:E7)</f>
        <v>600</v>
      </c>
      <c r="F8" s="48" t="n">
        <f aca="false">SUM(F4:F7)</f>
        <v>9</v>
      </c>
      <c r="G8" s="48" t="n">
        <f aca="false">SUM(G4:G7)</f>
        <v>900</v>
      </c>
      <c r="H8" s="49" t="n">
        <f aca="false">SUM(H4:H7)</f>
        <v>3</v>
      </c>
      <c r="I8" s="50" t="n">
        <f aca="false">SUM(I4:I7)</f>
        <v>17040</v>
      </c>
      <c r="J8" s="51" t="s">
        <v>59</v>
      </c>
    </row>
  </sheetData>
  <mergeCells count="7">
    <mergeCell ref="A1:J1"/>
    <mergeCell ref="A2:A3"/>
    <mergeCell ref="B2:C2"/>
    <mergeCell ref="D2:E2"/>
    <mergeCell ref="F2:G2"/>
    <mergeCell ref="H2:I2"/>
    <mergeCell ref="J2:J3"/>
  </mergeCells>
  <printOptions headings="false" gridLines="false" gridLinesSet="true" horizontalCentered="true" verticalCentered="true"/>
  <pageMargins left="0.39375" right="0.39375" top="0.590277777777778" bottom="0.590277777777778" header="0.511805555555555" footer="0.511805555555555"/>
  <pageSetup blackAndWhite="false" cellComments="none" copies="1" draft="false" firstPageNumber="0" fitToHeight="1" fitToWidth="1" horizontalDpi="300" orientation="landscape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E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C12" activeCellId="0" pane="topLeft" sqref="C12"/>
    </sheetView>
  </sheetViews>
  <sheetFormatPr defaultRowHeight="15"/>
  <cols>
    <col collapsed="false" hidden="false" max="2" min="1" style="0" width="8.6734693877551"/>
    <col collapsed="false" hidden="false" max="3" min="3" style="0" width="10.7091836734694"/>
    <col collapsed="false" hidden="false" max="4" min="4" style="0" width="8.6734693877551"/>
    <col collapsed="false" hidden="false" max="5" min="5" style="0" width="11.8622448979592"/>
    <col collapsed="false" hidden="false" max="6" min="6" style="0" width="2.85204081632653"/>
    <col collapsed="false" hidden="false" max="1025" min="7" style="0" width="8.6734693877551"/>
  </cols>
  <sheetData>
    <row collapsed="false" customFormat="false" customHeight="false" hidden="false" ht="15" outlineLevel="0" r="2">
      <c r="B2" s="52" t="s">
        <v>60</v>
      </c>
      <c r="C2" s="52"/>
      <c r="D2" s="53" t="s">
        <v>61</v>
      </c>
      <c r="E2" s="53"/>
    </row>
    <row collapsed="false" customFormat="false" customHeight="false" hidden="false" ht="15" outlineLevel="0" r="3">
      <c r="B3" s="52"/>
      <c r="C3" s="52"/>
      <c r="D3" s="53"/>
      <c r="E3" s="53"/>
    </row>
    <row collapsed="false" customFormat="false" customHeight="false" hidden="false" ht="15" outlineLevel="0" r="4">
      <c r="B4" s="54" t="s">
        <v>62</v>
      </c>
      <c r="C4" s="54"/>
      <c r="D4" s="54" t="n">
        <v>18030</v>
      </c>
      <c r="E4" s="54"/>
    </row>
    <row collapsed="false" customFormat="false" customHeight="false" hidden="false" ht="15" outlineLevel="0" r="5">
      <c r="B5" s="55" t="s">
        <v>63</v>
      </c>
      <c r="C5" s="55"/>
      <c r="D5" s="55" t="n">
        <v>14484</v>
      </c>
      <c r="E5" s="55"/>
    </row>
    <row collapsed="false" customFormat="false" customHeight="false" hidden="false" ht="15" outlineLevel="0" r="6">
      <c r="B6" s="54" t="s">
        <v>64</v>
      </c>
      <c r="C6" s="54"/>
      <c r="D6" s="56" t="n">
        <v>19351.65</v>
      </c>
      <c r="E6" s="56"/>
    </row>
    <row collapsed="false" customFormat="false" customHeight="false" hidden="false" ht="15" outlineLevel="0" r="10">
      <c r="B10" s="0" t="s">
        <v>65</v>
      </c>
    </row>
    <row collapsed="false" customFormat="false" customHeight="false" hidden="false" ht="15" outlineLevel="0" r="11">
      <c r="B11" s="57" t="s">
        <v>66</v>
      </c>
      <c r="C11" s="58" t="n">
        <f aca="false">SUM(D5/(SQRT(3)*380*0.92))</f>
        <v>23.919740557616</v>
      </c>
    </row>
  </sheetData>
  <mergeCells count="8">
    <mergeCell ref="B2:C3"/>
    <mergeCell ref="D2:E3"/>
    <mergeCell ref="B4:C4"/>
    <mergeCell ref="D4:E4"/>
    <mergeCell ref="B5:C5"/>
    <mergeCell ref="D5:E5"/>
    <mergeCell ref="B6:C6"/>
    <mergeCell ref="D6:E6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1"/>
  <sheetViews>
    <sheetView colorId="64" defaultGridColor="true" rightToLeft="false" showFormulas="false" showGridLines="true" showOutlineSymbols="true" showRowColHeaders="true" showZeros="true" tabSelected="false" topLeftCell="A1" view="normal" windowProtection="true" workbookViewId="0" zoomScale="100" zoomScaleNormal="100" zoomScalePageLayoutView="100">
      <pane activePane="bottomLeft" state="frozen" topLeftCell="A3" xSplit="0" ySplit="2"/>
      <selection activeCell="A1" activeCellId="0" pane="topLeft" sqref="A1"/>
      <selection activeCell="N5" activeCellId="0" pane="bottomLeft" sqref="N5"/>
    </sheetView>
  </sheetViews>
  <sheetFormatPr defaultRowHeight="15"/>
  <cols>
    <col collapsed="false" hidden="false" max="1" min="1" style="0" width="8.29081632653061"/>
    <col collapsed="false" hidden="false" max="2" min="2" style="0" width="7"/>
    <col collapsed="false" hidden="false" max="3" min="3" style="0" width="9.5765306122449"/>
    <col collapsed="false" hidden="false" max="4" min="4" style="0" width="7.71428571428571"/>
    <col collapsed="false" hidden="false" max="5" min="5" style="0" width="9.28571428571429"/>
    <col collapsed="false" hidden="false" max="6" min="6" style="0" width="7.71428571428571"/>
    <col collapsed="false" hidden="false" max="8" min="7" style="0" width="9.4234693877551"/>
    <col collapsed="false" hidden="false" max="10" min="9" style="0" width="8.85714285714286"/>
    <col collapsed="false" hidden="false" max="11" min="11" style="0" width="61.8520408163265"/>
    <col collapsed="false" hidden="false" max="14" min="12" style="0" width="9.14285714285714"/>
    <col collapsed="false" hidden="false" max="1025" min="15" style="59" width="9.14285714285714"/>
  </cols>
  <sheetData>
    <row collapsed="false" customFormat="false" customHeight="true" hidden="false" ht="30.75" outlineLevel="0" r="1">
      <c r="A1" s="60" t="s">
        <v>67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52" t="s">
        <v>68</v>
      </c>
      <c r="M1" s="52"/>
      <c r="N1" s="52"/>
    </row>
    <row collapsed="false" customFormat="false" customHeight="true" hidden="false" ht="20.25" outlineLevel="0" r="2">
      <c r="A2" s="61" t="s">
        <v>69</v>
      </c>
      <c r="B2" s="13" t="s">
        <v>70</v>
      </c>
      <c r="C2" s="61" t="s">
        <v>71</v>
      </c>
      <c r="D2" s="13" t="s">
        <v>72</v>
      </c>
      <c r="E2" s="13"/>
      <c r="F2" s="13" t="s">
        <v>11</v>
      </c>
      <c r="G2" s="13"/>
      <c r="H2" s="13" t="s">
        <v>15</v>
      </c>
      <c r="I2" s="13" t="s">
        <v>73</v>
      </c>
      <c r="J2" s="13" t="s">
        <v>74</v>
      </c>
      <c r="K2" s="37" t="s">
        <v>2</v>
      </c>
      <c r="L2" s="52"/>
      <c r="M2" s="52"/>
      <c r="N2" s="52"/>
    </row>
    <row collapsed="false" customFormat="false" customHeight="true" hidden="false" ht="27" outlineLevel="0" r="3">
      <c r="A3" s="61"/>
      <c r="B3" s="13"/>
      <c r="C3" s="61"/>
      <c r="D3" s="61" t="s">
        <v>75</v>
      </c>
      <c r="E3" s="13" t="s">
        <v>76</v>
      </c>
      <c r="F3" s="13" t="s">
        <v>75</v>
      </c>
      <c r="G3" s="13" t="s">
        <v>76</v>
      </c>
      <c r="H3" s="13" t="s">
        <v>76</v>
      </c>
      <c r="I3" s="13"/>
      <c r="J3" s="13"/>
      <c r="K3" s="37"/>
      <c r="L3" s="62" t="s">
        <v>77</v>
      </c>
      <c r="M3" s="62" t="s">
        <v>78</v>
      </c>
      <c r="N3" s="62" t="s">
        <v>79</v>
      </c>
    </row>
    <row collapsed="false" customFormat="false" customHeight="true" hidden="false" ht="22.5" outlineLevel="0" r="4">
      <c r="A4" s="63" t="n">
        <v>1</v>
      </c>
      <c r="F4" s="0" t="s">
        <v>59</v>
      </c>
      <c r="G4" s="0" t="s">
        <v>59</v>
      </c>
      <c r="H4" s="0" t="n">
        <v>5520</v>
      </c>
      <c r="I4" s="0" t="s">
        <v>59</v>
      </c>
      <c r="J4" s="0" t="s">
        <v>77</v>
      </c>
      <c r="K4" s="64" t="s">
        <v>80</v>
      </c>
      <c r="L4" s="65" t="n">
        <f aca="false">5520+900</f>
        <v>6420</v>
      </c>
      <c r="M4" s="65" t="n">
        <f aca="false">5520+600</f>
        <v>6120</v>
      </c>
      <c r="N4" s="65" t="n">
        <v>6000</v>
      </c>
    </row>
    <row collapsed="false" customFormat="false" customHeight="false" hidden="false" ht="14.9" outlineLevel="0" r="5">
      <c r="A5" s="63" t="n">
        <v>2</v>
      </c>
      <c r="F5" s="0" t="s">
        <v>59</v>
      </c>
      <c r="G5" s="0" t="s">
        <v>59</v>
      </c>
      <c r="H5" s="0" t="n">
        <v>5520</v>
      </c>
      <c r="I5" s="0" t="s">
        <v>59</v>
      </c>
      <c r="J5" s="0" t="s">
        <v>78</v>
      </c>
      <c r="K5" s="64" t="s">
        <v>81</v>
      </c>
      <c r="L5" s="66"/>
      <c r="M5" s="66"/>
      <c r="N5" s="66"/>
    </row>
    <row collapsed="false" customFormat="false" customHeight="false" hidden="false" ht="14.9" outlineLevel="0" r="6">
      <c r="A6" s="63" t="n">
        <v>3</v>
      </c>
      <c r="G6" s="64"/>
      <c r="H6" s="64" t="n">
        <v>6000</v>
      </c>
      <c r="I6" s="0" t="s">
        <v>59</v>
      </c>
      <c r="J6" s="64" t="s">
        <v>79</v>
      </c>
      <c r="K6" s="64" t="s">
        <v>82</v>
      </c>
      <c r="L6" s="66"/>
      <c r="M6" s="66"/>
      <c r="N6" s="66"/>
    </row>
    <row collapsed="false" customFormat="false" customHeight="false" hidden="false" ht="14.9" outlineLevel="0" r="7">
      <c r="A7" s="63" t="n">
        <v>4</v>
      </c>
      <c r="F7" s="64" t="n">
        <v>9</v>
      </c>
      <c r="G7" s="67" t="n">
        <v>900</v>
      </c>
      <c r="J7" s="64" t="s">
        <v>77</v>
      </c>
      <c r="K7" s="64" t="s">
        <v>43</v>
      </c>
      <c r="L7" s="66"/>
      <c r="M7" s="66"/>
      <c r="N7" s="66"/>
    </row>
    <row collapsed="false" customFormat="false" customHeight="false" hidden="false" ht="14.9" outlineLevel="0" r="8">
      <c r="A8" s="63" t="n">
        <f aca="false">A7+1</f>
        <v>5</v>
      </c>
      <c r="D8" s="0" t="n">
        <v>6</v>
      </c>
      <c r="E8" s="0" t="n">
        <v>600</v>
      </c>
      <c r="F8" s="64"/>
      <c r="G8" s="64"/>
      <c r="I8" s="0" t="s">
        <v>59</v>
      </c>
      <c r="J8" s="64" t="s">
        <v>78</v>
      </c>
      <c r="K8" s="64" t="s">
        <v>42</v>
      </c>
      <c r="L8" s="66"/>
      <c r="M8" s="66"/>
      <c r="N8" s="66"/>
    </row>
    <row collapsed="false" customFormat="false" customHeight="false" hidden="false" ht="14.05" outlineLevel="0" r="9"/>
    <row collapsed="false" customFormat="false" customHeight="false" hidden="false" ht="14.05" outlineLevel="0" r="10"/>
    <row collapsed="false" customFormat="false" customHeight="true" hidden="false" ht="14.25" outlineLevel="0" r="11"/>
  </sheetData>
  <mergeCells count="10">
    <mergeCell ref="A1:K1"/>
    <mergeCell ref="L1:N2"/>
    <mergeCell ref="A2:A3"/>
    <mergeCell ref="B2:B3"/>
    <mergeCell ref="C2:C3"/>
    <mergeCell ref="D2:E2"/>
    <mergeCell ref="F2:G2"/>
    <mergeCell ref="I2:I3"/>
    <mergeCell ref="J2:J3"/>
    <mergeCell ref="K2:K3"/>
  </mergeCells>
  <printOptions headings="false" gridLines="false" gridLinesSet="true" horizontalCentered="true" verticalCentered="true"/>
  <pageMargins left="0.39375" right="0.39375" top="0.590277777777778" bottom="0.590277777777778" header="0.511805555555555" footer="0.511805555555555"/>
  <pageSetup blackAndWhite="false" cellComments="none" copies="1" draft="false" firstPageNumber="0" fitToHeight="1" fitToWidth="1" horizontalDpi="300" orientation="landscape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30" zoomScaleNormal="130" zoomScalePageLayoutView="100">
      <selection activeCell="B17" activeCellId="0" pane="topLeft" sqref="B17"/>
    </sheetView>
  </sheetViews>
  <sheetFormatPr defaultRowHeight="15"/>
  <cols>
    <col collapsed="false" hidden="false" max="1" min="1" style="0" width="19.2857142857143"/>
    <col collapsed="false" hidden="false" max="2" min="2" style="0" width="20.7091836734694"/>
    <col collapsed="false" hidden="false" max="3" min="3" style="0" width="8.85714285714286"/>
    <col collapsed="false" hidden="false" max="4" min="4" style="0" width="36.5714285714286"/>
    <col collapsed="false" hidden="false" max="5" min="5" style="0" width="35"/>
    <col collapsed="false" hidden="false" max="1025" min="6" style="68" width="9.14285714285714"/>
  </cols>
  <sheetData>
    <row collapsed="false" customFormat="false" customHeight="true" hidden="false" ht="60" outlineLevel="0" r="1">
      <c r="A1" s="69" t="s">
        <v>83</v>
      </c>
      <c r="B1" s="69"/>
      <c r="C1" s="70"/>
      <c r="D1" s="69" t="s">
        <v>84</v>
      </c>
      <c r="E1" s="71" t="s">
        <v>85</v>
      </c>
    </row>
    <row collapsed="false" customFormat="false" customHeight="false" hidden="false" ht="15" outlineLevel="0" r="2">
      <c r="A2" s="72" t="s">
        <v>86</v>
      </c>
      <c r="B2" s="72" t="s">
        <v>87</v>
      </c>
    </row>
    <row collapsed="false" customFormat="false" customHeight="true" hidden="false" ht="15" outlineLevel="0" r="3">
      <c r="A3" s="72" t="s">
        <v>88</v>
      </c>
      <c r="B3" s="72" t="n">
        <v>88</v>
      </c>
      <c r="D3" s="69" t="s">
        <v>89</v>
      </c>
      <c r="E3" s="69" t="s">
        <v>90</v>
      </c>
    </row>
    <row collapsed="false" customFormat="false" customHeight="false" hidden="false" ht="15" outlineLevel="0" r="4">
      <c r="A4" s="72" t="s">
        <v>91</v>
      </c>
      <c r="B4" s="72" t="n">
        <v>75</v>
      </c>
      <c r="D4" s="69"/>
      <c r="E4" s="69"/>
    </row>
    <row collapsed="false" customFormat="false" customHeight="false" hidden="false" ht="15" outlineLevel="0" r="5">
      <c r="A5" s="72" t="s">
        <v>92</v>
      </c>
      <c r="B5" s="72" t="n">
        <v>66</v>
      </c>
      <c r="D5" s="69"/>
      <c r="E5" s="69"/>
    </row>
    <row collapsed="false" customFormat="false" customHeight="false" hidden="false" ht="15" outlineLevel="0" r="6">
      <c r="A6" s="72" t="s">
        <v>93</v>
      </c>
      <c r="B6" s="72" t="n">
        <v>59</v>
      </c>
      <c r="D6" s="69"/>
      <c r="E6" s="69"/>
    </row>
    <row collapsed="false" customFormat="false" customHeight="false" hidden="false" ht="15" outlineLevel="0" r="7">
      <c r="A7" s="72" t="s">
        <v>94</v>
      </c>
      <c r="B7" s="72" t="n">
        <v>52</v>
      </c>
      <c r="D7" s="69"/>
      <c r="E7" s="69"/>
    </row>
    <row collapsed="false" customFormat="false" customHeight="false" hidden="false" ht="15" outlineLevel="0" r="8">
      <c r="A8" s="72" t="s">
        <v>95</v>
      </c>
      <c r="B8" s="72" t="n">
        <v>45</v>
      </c>
    </row>
    <row collapsed="false" customFormat="false" customHeight="true" hidden="false" ht="15" outlineLevel="0" r="9">
      <c r="A9" s="72" t="s">
        <v>96</v>
      </c>
      <c r="B9" s="72" t="n">
        <v>40</v>
      </c>
      <c r="D9" s="69" t="s">
        <v>97</v>
      </c>
      <c r="E9" s="69" t="s">
        <v>98</v>
      </c>
    </row>
    <row collapsed="false" customFormat="false" customHeight="false" hidden="false" ht="15" outlineLevel="0" r="10">
      <c r="A10" s="72" t="s">
        <v>99</v>
      </c>
      <c r="B10" s="72" t="n">
        <v>35</v>
      </c>
      <c r="D10" s="69"/>
      <c r="E10" s="69"/>
    </row>
    <row collapsed="false" customFormat="false" customHeight="false" hidden="false" ht="15" outlineLevel="0" r="11">
      <c r="A11" s="72" t="s">
        <v>100</v>
      </c>
      <c r="B11" s="72" t="n">
        <v>31</v>
      </c>
      <c r="D11" s="69"/>
      <c r="E11" s="69"/>
    </row>
    <row collapsed="false" customFormat="false" customHeight="false" hidden="false" ht="15" outlineLevel="0" r="12">
      <c r="A12" s="72" t="s">
        <v>101</v>
      </c>
      <c r="B12" s="72" t="n">
        <v>27</v>
      </c>
      <c r="D12" s="69"/>
      <c r="E12" s="69"/>
    </row>
    <row collapsed="false" customFormat="false" customHeight="false" hidden="false" ht="15" outlineLevel="0" r="13">
      <c r="A13" s="72" t="s">
        <v>102</v>
      </c>
      <c r="B13" s="72" t="n">
        <v>24</v>
      </c>
    </row>
    <row collapsed="false" customFormat="false" customHeight="true" hidden="false" ht="30.75" outlineLevel="0" r="16">
      <c r="A16" s="69" t="s">
        <v>103</v>
      </c>
      <c r="B16" s="69"/>
      <c r="C16" s="69"/>
    </row>
    <row collapsed="false" customFormat="false" customHeight="false" hidden="false" ht="45" outlineLevel="0" r="17">
      <c r="A17" s="72" t="s">
        <v>104</v>
      </c>
      <c r="B17" s="72" t="s">
        <v>105</v>
      </c>
      <c r="C17" s="72" t="s">
        <v>106</v>
      </c>
    </row>
    <row collapsed="false" customFormat="false" customHeight="false" hidden="false" ht="60" outlineLevel="0" r="18">
      <c r="A18" s="72" t="s">
        <v>107</v>
      </c>
      <c r="B18" s="72" t="s">
        <v>108</v>
      </c>
      <c r="C18" s="72" t="s">
        <v>109</v>
      </c>
    </row>
  </sheetData>
  <mergeCells count="6">
    <mergeCell ref="A1:B1"/>
    <mergeCell ref="D3:D7"/>
    <mergeCell ref="E3:E7"/>
    <mergeCell ref="D9:D12"/>
    <mergeCell ref="E9:E12"/>
    <mergeCell ref="A16:C16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LibreOffice/4.1.3.2$Windows_x86 LibreOffice_project/70feb7d99726f064edab4605a8ab840c50ec57a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2014-03-20T15:42:00Z</dcterms:created>
  <dc:creator>PEDRO ARAUJO MEDEIROS</dc:creator>
  <cp:lastModifiedBy>Lucas</cp:lastModifiedBy>
  <cp:lastPrinted>2014-04-13T19:26:33Z</cp:lastPrinted>
  <dcterms:modified xsi:type="dcterms:W3CDTF">2015-05-11T22:45:17Z</dcterms:modified>
  <cp:revision>0</cp:revision>
</cp:coreProperties>
</file>