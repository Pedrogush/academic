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6675" windowHeight="6990"/>
  </bookViews>
  <sheets>
    <sheet name="Qtd_minima" sheetId="3" r:id="rId1"/>
    <sheet name="Demanda-Criterios" sheetId="4" r:id="rId2"/>
    <sheet name="Comparações dos Criterios" sheetId="6" r:id="rId3"/>
    <sheet name="Circuitos" sheetId="7" r:id="rId4"/>
    <sheet name="Regras" sheetId="5" r:id="rId5"/>
  </sheets>
  <definedNames>
    <definedName name="_xlnm.Print_Titles" localSheetId="0">Qtd_minima!$1:$3</definedName>
  </definedNames>
  <calcPr calcId="145621"/>
</workbook>
</file>

<file path=xl/calcChain.xml><?xml version="1.0" encoding="utf-8"?>
<calcChain xmlns="http://schemas.openxmlformats.org/spreadsheetml/2006/main">
  <c r="M4" i="7" l="1"/>
  <c r="L4" i="7"/>
  <c r="A9" i="7"/>
  <c r="A10" i="7" s="1"/>
  <c r="A8" i="7"/>
  <c r="J5" i="4" l="1"/>
  <c r="J6" i="4"/>
  <c r="G16" i="3"/>
  <c r="F16" i="3"/>
  <c r="D16" i="3"/>
  <c r="E16" i="3" l="1"/>
  <c r="C16" i="3"/>
  <c r="B16" i="3"/>
  <c r="C11" i="6" l="1"/>
  <c r="D17" i="4"/>
  <c r="D20" i="4" s="1"/>
  <c r="H18" i="4" s="1"/>
  <c r="E4" i="4" l="1"/>
  <c r="J4" i="4"/>
  <c r="E5" i="4"/>
  <c r="E6" i="4"/>
  <c r="J7" i="4"/>
  <c r="J8" i="4"/>
  <c r="J9" i="4"/>
  <c r="E27" i="4"/>
  <c r="I27" i="4"/>
  <c r="E26" i="4" l="1"/>
  <c r="D10" i="4"/>
  <c r="I26" i="4"/>
  <c r="J10" i="4"/>
  <c r="H16" i="3" l="1"/>
  <c r="I16" i="3"/>
  <c r="C29" i="4" l="1"/>
</calcChain>
</file>

<file path=xl/sharedStrings.xml><?xml version="1.0" encoding="utf-8"?>
<sst xmlns="http://schemas.openxmlformats.org/spreadsheetml/2006/main" count="162" uniqueCount="122">
  <si>
    <t>Área</t>
  </si>
  <si>
    <t>Observação</t>
  </si>
  <si>
    <t>Dimensões</t>
  </si>
  <si>
    <t>Iluminação</t>
  </si>
  <si>
    <t>Qtd.</t>
  </si>
  <si>
    <t>Potência (VA)</t>
  </si>
  <si>
    <t>TUGs</t>
  </si>
  <si>
    <t>Potência(VA)</t>
  </si>
  <si>
    <t>TUEs</t>
  </si>
  <si>
    <t>Potência(W)</t>
  </si>
  <si>
    <t>Perímetro (m)</t>
  </si>
  <si>
    <t>INSTALAÇÃO MÍNIMA</t>
  </si>
  <si>
    <t>Total</t>
  </si>
  <si>
    <t>Cozinha</t>
  </si>
  <si>
    <t>WC</t>
  </si>
  <si>
    <t>Hall 1</t>
  </si>
  <si>
    <t>Hall 2</t>
  </si>
  <si>
    <t>Ar Condicionado</t>
  </si>
  <si>
    <t>-</t>
  </si>
  <si>
    <t>Dependencias</t>
  </si>
  <si>
    <t>Chuveiros</t>
  </si>
  <si>
    <t>Quantidade</t>
  </si>
  <si>
    <t>Demanda</t>
  </si>
  <si>
    <t>Outros aparelhos fixos e estacionários</t>
  </si>
  <si>
    <t>Fornos, Fogões, Secadoras de Roupa, Aquecedores de Ambiente, Ar-condicionado</t>
  </si>
  <si>
    <t>Aparelhos Ar Condicionado</t>
  </si>
  <si>
    <t>Demanda (D=(Pilum + Ptug)*g + Ptue)</t>
  </si>
  <si>
    <t>Aparelhos Eletrodoméstico Fixos ou Estacionários</t>
  </si>
  <si>
    <t>Área de Serviço</t>
  </si>
  <si>
    <t>TUE</t>
  </si>
  <si>
    <t>TUG</t>
  </si>
  <si>
    <t>Ilum</t>
  </si>
  <si>
    <t>Fator Demanda</t>
  </si>
  <si>
    <t>Potência (W)</t>
  </si>
  <si>
    <t>Potencia (W)</t>
  </si>
  <si>
    <t>Fp</t>
  </si>
  <si>
    <t>Método NEC</t>
  </si>
  <si>
    <t>Método IEC</t>
  </si>
  <si>
    <t>Método COBEI</t>
  </si>
  <si>
    <t>Potência Instalada</t>
  </si>
  <si>
    <t>Descrição</t>
  </si>
  <si>
    <t>Fator de demanda (g)</t>
  </si>
  <si>
    <r>
      <rPr>
        <b/>
        <sz val="11"/>
        <color theme="1"/>
        <rFont val="Calibri"/>
        <family val="2"/>
        <scheme val="minor"/>
      </rPr>
      <t>Fatores de demanda para iluminação e tomadas de uso geral em unidades residenciais e acomodações de hotéis, motéis, similares.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COBEI.</t>
    </r>
    <r>
      <rPr>
        <b/>
        <sz val="11"/>
        <rFont val="Calibri"/>
        <family val="2"/>
        <scheme val="minor"/>
      </rPr>
      <t xml:space="preserve"> p.163 4ed Cotrim</t>
    </r>
  </si>
  <si>
    <r>
      <t xml:space="preserve">Fatores de demanda para iluminação e tomadas de uso geral em prédios de apartamentos e conjuntos residenciais.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 xml:space="preserve">. p.164 4ed Cotrim </t>
    </r>
  </si>
  <si>
    <r>
      <t xml:space="preserve">Fatores de demanda para equipamento de hidromassagem de uso residencial.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p.164 4ed Cotrim.</t>
    </r>
  </si>
  <si>
    <t>Potência - P(kW)</t>
  </si>
  <si>
    <t>Fator de demanda (%)</t>
  </si>
  <si>
    <r>
      <t xml:space="preserve">0 &lt; P </t>
    </r>
    <r>
      <rPr>
        <sz val="11"/>
        <color theme="1"/>
        <rFont val="Calibri"/>
        <family val="2"/>
      </rPr>
      <t>≤ 1</t>
    </r>
  </si>
  <si>
    <r>
      <t xml:space="preserve">Fatores de demanda para aparelhos de ar-condicionado (tipo janela ou centrais individuais) de uso residencial, aplicáveis a prédios de apartamentos.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p164 4ed Cotrim.</t>
    </r>
  </si>
  <si>
    <r>
      <t xml:space="preserve">Fatores de demanda para aparelhos de ar-condicionado (tipo janela ou centrais individuais) aplicáveis a prédios comerciais.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p165 4ed Cotrim.</t>
    </r>
  </si>
  <si>
    <r>
      <t xml:space="preserve">1 &lt; P </t>
    </r>
    <r>
      <rPr>
        <sz val="11"/>
        <color theme="1"/>
        <rFont val="Calibri"/>
        <family val="2"/>
      </rPr>
      <t>≤ 2</t>
    </r>
  </si>
  <si>
    <r>
      <t xml:space="preserve">2 &lt; P </t>
    </r>
    <r>
      <rPr>
        <sz val="11"/>
        <color theme="1"/>
        <rFont val="Calibri"/>
        <family val="2"/>
      </rPr>
      <t>≤ 3</t>
    </r>
  </si>
  <si>
    <r>
      <t xml:space="preserve">3 &lt; P </t>
    </r>
    <r>
      <rPr>
        <sz val="11"/>
        <color theme="1"/>
        <rFont val="Calibri"/>
        <family val="2"/>
      </rPr>
      <t>≤ 4</t>
    </r>
  </si>
  <si>
    <r>
      <t xml:space="preserve">4 &lt; P </t>
    </r>
    <r>
      <rPr>
        <sz val="11"/>
        <color theme="1"/>
        <rFont val="Calibri"/>
        <family val="2"/>
      </rPr>
      <t>≤ 5</t>
    </r>
  </si>
  <si>
    <r>
      <t xml:space="preserve">5 &lt; P </t>
    </r>
    <r>
      <rPr>
        <sz val="11"/>
        <color theme="1"/>
        <rFont val="Calibri"/>
        <family val="2"/>
      </rPr>
      <t>≤ 6</t>
    </r>
  </si>
  <si>
    <r>
      <t xml:space="preserve">6 &lt; P </t>
    </r>
    <r>
      <rPr>
        <sz val="11"/>
        <color theme="1"/>
        <rFont val="Calibri"/>
        <family val="2"/>
      </rPr>
      <t>≤ 7</t>
    </r>
  </si>
  <si>
    <r>
      <t xml:space="preserve">Fatores de demanda de alguns equipamentos de uso residencial.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 xml:space="preserve">. p165 4ed Cotrim. </t>
    </r>
  </si>
  <si>
    <r>
      <t xml:space="preserve">Fatores de demanda para unidades residenciais e acomodações de hotéis, motéis e similares. </t>
    </r>
    <r>
      <rPr>
        <b/>
        <sz val="11"/>
        <color rgb="FFFF0000"/>
        <rFont val="Calibri"/>
        <family val="2"/>
        <scheme val="minor"/>
      </rPr>
      <t>IEC 64</t>
    </r>
    <r>
      <rPr>
        <b/>
        <sz val="11"/>
        <color theme="1"/>
        <rFont val="Calibri"/>
        <family val="2"/>
        <scheme val="minor"/>
      </rPr>
      <t>. p166 4ed Cotrim.</t>
    </r>
  </si>
  <si>
    <r>
      <t xml:space="preserve">7 &lt; P </t>
    </r>
    <r>
      <rPr>
        <sz val="11"/>
        <color theme="1"/>
        <rFont val="Calibri"/>
        <family val="2"/>
      </rPr>
      <t>≤ 8</t>
    </r>
  </si>
  <si>
    <r>
      <t xml:space="preserve">8 &lt; P </t>
    </r>
    <r>
      <rPr>
        <sz val="11"/>
        <color theme="1"/>
        <rFont val="Calibri"/>
        <family val="2"/>
      </rPr>
      <t>≤ 9</t>
    </r>
  </si>
  <si>
    <r>
      <t xml:space="preserve">9 &lt; P </t>
    </r>
    <r>
      <rPr>
        <sz val="11"/>
        <color theme="1"/>
        <rFont val="Calibri"/>
        <family val="2"/>
      </rPr>
      <t>≤ 10</t>
    </r>
  </si>
  <si>
    <t>Acima de 10</t>
  </si>
  <si>
    <r>
      <t xml:space="preserve">De acordo com a </t>
    </r>
    <r>
      <rPr>
        <b/>
        <sz val="11"/>
        <color rgb="FFFF0000"/>
        <rFont val="Calibri"/>
        <family val="2"/>
        <scheme val="minor"/>
      </rPr>
      <t>CESP</t>
    </r>
    <r>
      <rPr>
        <b/>
        <sz val="11"/>
        <rFont val="Calibri"/>
        <family val="2"/>
        <scheme val="minor"/>
      </rPr>
      <t>, fator de demanda global Residencial - p.163 4ed Cotrim</t>
    </r>
  </si>
  <si>
    <t>Administração de prédios de departamentos</t>
  </si>
  <si>
    <t>Até 100Kw
Acima de 100kW</t>
  </si>
  <si>
    <t>0,35
0,13</t>
  </si>
  <si>
    <t>Residencial (Residência. Colônia residencial, núcleo residencial).</t>
  </si>
  <si>
    <t>Até 200Kw
Acima de 200kW</t>
  </si>
  <si>
    <t>0,39
0,20</t>
  </si>
  <si>
    <t>*</t>
  </si>
  <si>
    <t>Observações</t>
  </si>
  <si>
    <t>Aparelho de Cozinha</t>
  </si>
  <si>
    <t>Como é apenas 1 aparelho FD = 1</t>
  </si>
  <si>
    <t>Aquecimento de Água</t>
  </si>
  <si>
    <t>Demanda Total (W)</t>
  </si>
  <si>
    <t>Densidade Potência (W/m2)</t>
  </si>
  <si>
    <t>Área (m2)</t>
  </si>
  <si>
    <t>P(ilum+tug) (W)</t>
  </si>
  <si>
    <t>Demanda Máxima (W)</t>
  </si>
  <si>
    <t>Potência</t>
  </si>
  <si>
    <t>Total (W)</t>
  </si>
  <si>
    <t>Demanda Total(W):</t>
  </si>
  <si>
    <t>Métodos</t>
  </si>
  <si>
    <t>COBEI</t>
  </si>
  <si>
    <t>IEC</t>
  </si>
  <si>
    <t>NEC</t>
  </si>
  <si>
    <t>Potência Instalada (W)</t>
  </si>
  <si>
    <t>Ib</t>
  </si>
  <si>
    <t>Cálculo da Corrente (A)</t>
  </si>
  <si>
    <t>CIRCUITOS DA INSTALAÇÃO</t>
  </si>
  <si>
    <t>A</t>
  </si>
  <si>
    <t>B</t>
  </si>
  <si>
    <t>C</t>
  </si>
  <si>
    <t>Secção</t>
  </si>
  <si>
    <t>Proteção</t>
  </si>
  <si>
    <t>Fase</t>
  </si>
  <si>
    <t>Nº do Circuito</t>
  </si>
  <si>
    <t>Pontos de Luz</t>
  </si>
  <si>
    <t>Quant</t>
  </si>
  <si>
    <t>Corrente Nominal (A)</t>
  </si>
  <si>
    <t>P (W)</t>
  </si>
  <si>
    <t>Salão de festa</t>
  </si>
  <si>
    <t>Depósito</t>
  </si>
  <si>
    <t>Medição</t>
  </si>
  <si>
    <t>Vestiário</t>
  </si>
  <si>
    <t>Portaria</t>
  </si>
  <si>
    <t>Copa</t>
  </si>
  <si>
    <t>WC Masc</t>
  </si>
  <si>
    <t>WC Fem</t>
  </si>
  <si>
    <t>Extra</t>
  </si>
  <si>
    <t>(0,2* 5A * 200 V * 26 * 0,8)</t>
  </si>
  <si>
    <t>26 é a quantidade de tomadas</t>
  </si>
  <si>
    <t>Sombra do apto</t>
  </si>
  <si>
    <t>1,5</t>
  </si>
  <si>
    <r>
      <rPr>
        <sz val="11"/>
        <color theme="4"/>
        <rFont val="Calibri"/>
        <family val="2"/>
        <scheme val="minor"/>
      </rPr>
      <t>Ilum</t>
    </r>
    <r>
      <rPr>
        <sz val="11"/>
        <color theme="1"/>
        <rFont val="Calibri"/>
        <family val="2"/>
        <scheme val="minor"/>
      </rPr>
      <t>(Salão de Festa, depósito, WC Fem e WC Masc)</t>
    </r>
  </si>
  <si>
    <r>
      <rPr>
        <sz val="11"/>
        <color theme="4"/>
        <rFont val="Calibri"/>
        <family val="2"/>
        <scheme val="minor"/>
      </rPr>
      <t>Ilum</t>
    </r>
    <r>
      <rPr>
        <sz val="11"/>
        <color theme="1"/>
        <rFont val="Calibri"/>
        <family val="2"/>
        <scheme val="minor"/>
      </rPr>
      <t>(Medição, vestiário, portária, Hall 1, Hall 2, copa, WC e sombra)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</si>
  <si>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(Salão de Festa, WC Fem e WC Masc)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</si>
  <si>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(Depósito, medição, vestiário, copa e WC)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</si>
  <si>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(Portaria, Hall1, Hall2, sombra)</t>
    </r>
  </si>
  <si>
    <r>
      <rPr>
        <sz val="11"/>
        <color theme="4"/>
        <rFont val="Calibri"/>
        <family val="2"/>
        <scheme val="minor"/>
      </rPr>
      <t>Tug</t>
    </r>
    <r>
      <rPr>
        <sz val="11"/>
        <color theme="1"/>
        <rFont val="Calibri"/>
        <family val="2"/>
        <scheme val="minor"/>
      </rPr>
      <t>(Salão de Festa)</t>
    </r>
  </si>
  <si>
    <t>Potência por fase (W)</t>
  </si>
  <si>
    <r>
      <rPr>
        <sz val="11"/>
        <color theme="4"/>
        <rFont val="Calibri"/>
        <family val="2"/>
        <scheme val="minor"/>
      </rPr>
      <t>Tue</t>
    </r>
    <r>
      <rPr>
        <sz val="11"/>
        <color theme="1"/>
        <rFont val="Calibri"/>
        <family val="2"/>
        <scheme val="minor"/>
      </rPr>
      <t>(Ar condicionados)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</si>
</sst>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6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4" borderId="8" applyNumberFormat="0" applyFont="0" applyAlignment="0" applyProtection="0"/>
  </cellStyleXfs>
  <cellXfs count="140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Fill="1"/>
    <xf numFmtId="0" fontId="0" fillId="6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4" borderId="1" xfId="1" applyFont="1" applyBorder="1" applyAlignment="1">
      <alignment horizontal="center" wrapText="1"/>
    </xf>
    <xf numFmtId="0" fontId="3" fillId="4" borderId="6" xfId="1" applyFont="1" applyBorder="1" applyAlignment="1">
      <alignment wrapText="1"/>
    </xf>
    <xf numFmtId="0" fontId="0" fillId="6" borderId="6" xfId="0" applyFill="1" applyBorder="1" applyAlignment="1">
      <alignment horizontal="center"/>
    </xf>
    <xf numFmtId="0" fontId="8" fillId="4" borderId="6" xfId="1" applyFont="1" applyBorder="1" applyAlignment="1">
      <alignment horizont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8" fillId="4" borderId="6" xfId="1" applyNumberFormat="1" applyFont="1" applyBorder="1" applyAlignment="1">
      <alignment horizontal="center" wrapText="1"/>
    </xf>
    <xf numFmtId="2" fontId="0" fillId="4" borderId="1" xfId="1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3" borderId="0" xfId="0" applyFill="1" applyAlignment="1"/>
    <xf numFmtId="0" fontId="2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3" borderId="0" xfId="0" applyFill="1" applyBorder="1" applyAlignment="1"/>
    <xf numFmtId="0" fontId="0" fillId="4" borderId="1" xfId="1" applyNumberFormat="1" applyFont="1" applyBorder="1" applyAlignment="1">
      <alignment horizontal="center" wrapText="1"/>
    </xf>
    <xf numFmtId="2" fontId="0" fillId="4" borderId="1" xfId="1" applyNumberFormat="1" applyFont="1" applyBorder="1" applyAlignment="1">
      <alignment horizontal="center" vertical="center" wrapText="1"/>
    </xf>
    <xf numFmtId="0" fontId="0" fillId="4" borderId="6" xfId="1" applyNumberFormat="1" applyFont="1" applyBorder="1" applyAlignment="1">
      <alignment horizontal="center" wrapText="1"/>
    </xf>
    <xf numFmtId="0" fontId="0" fillId="4" borderId="6" xfId="1" applyFont="1" applyBorder="1" applyAlignment="1">
      <alignment horizontal="center" wrapText="1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2" fontId="0" fillId="4" borderId="6" xfId="1" applyNumberFormat="1" applyFont="1" applyBorder="1" applyAlignment="1">
      <alignment horizont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/>
    <xf numFmtId="0" fontId="3" fillId="5" borderId="1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11" fillId="0" borderId="28" xfId="0" applyNumberFormat="1" applyFont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2" fontId="11" fillId="0" borderId="26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5" borderId="24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1" applyFont="1" applyBorder="1" applyAlignment="1">
      <alignment wrapText="1"/>
    </xf>
    <xf numFmtId="0" fontId="2" fillId="4" borderId="1" xfId="1" applyFont="1" applyBorder="1" applyAlignment="1">
      <alignment vertical="center" wrapText="1"/>
    </xf>
    <xf numFmtId="0" fontId="2" fillId="4" borderId="6" xfId="1" applyFont="1" applyBorder="1" applyAlignment="1">
      <alignment vertical="center" wrapText="1"/>
    </xf>
  </cellXfs>
  <cellStyles count="2">
    <cellStyle name="Normal" xfId="0" builtinId="0"/>
    <cellStyle name="Nota" xfId="1" builtinId="10"/>
  </cellStyles>
  <dxfs count="0"/>
  <tableStyles count="0" defaultTableStyle="TableStyleMedium2" defaultPivotStyle="PivotStyleLight16"/>
  <colors>
    <mruColors>
      <color rgb="FFFF7C80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121223</xdr:colOff>
      <xdr:row>12</xdr:row>
      <xdr:rowOff>183173</xdr:rowOff>
    </xdr:from>
    <xdr:to>
      <xdr:col>4</xdr:col>
      <xdr:colOff>1998784</xdr:colOff>
      <xdr:row>17</xdr:row>
      <xdr:rowOff>536307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498" y="2954948"/>
          <a:ext cx="4668386" cy="1829509"/>
        </a:xfrm>
        <a:prstGeom prst="rect">
          <a:avLst/>
        </a:prstGeom>
      </xdr:spPr>
    </xdr:pic>
    <xdr:clientData/>
  </xdr:twoCellAnchor>
  <xdr:twoCellAnchor editAs="oneCell">
    <xdr:from>
      <xdr:col>0</xdr:col>
      <xdr:colOff>80595</xdr:colOff>
      <xdr:row>18</xdr:row>
      <xdr:rowOff>118622</xdr:rowOff>
    </xdr:from>
    <xdr:to>
      <xdr:col>4</xdr:col>
      <xdr:colOff>496765</xdr:colOff>
      <xdr:row>37</xdr:row>
      <xdr:rowOff>379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95" y="5090672"/>
          <a:ext cx="6931270" cy="3320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zoomScale="115" zoomScaleNormal="115" workbookViewId="0">
      <pane ySplit="3" topLeftCell="A4" activePane="bottomLeft" state="frozen"/>
      <selection pane="bottomLeft" activeCell="N17" sqref="N17"/>
    </sheetView>
  </sheetViews>
  <sheetFormatPr defaultColWidth="9.140625" defaultRowHeight="15" x14ac:dyDescent="0.25"/>
  <cols>
    <col min="1" max="1" width="20.7109375" style="2" customWidth="1"/>
    <col min="2" max="2" width="9.85546875" style="2" bestFit="1" customWidth="1"/>
    <col min="3" max="3" width="13.140625" style="2" customWidth="1"/>
    <col min="4" max="4" width="5.7109375" style="1" customWidth="1"/>
    <col min="5" max="5" width="13.28515625" style="1" bestFit="1" customWidth="1"/>
    <col min="6" max="6" width="5.7109375" style="1" customWidth="1"/>
    <col min="7" max="7" width="12.7109375" style="1" bestFit="1" customWidth="1"/>
    <col min="8" max="8" width="5.7109375" style="1" customWidth="1"/>
    <col min="9" max="9" width="12" style="1" bestFit="1" customWidth="1"/>
    <col min="10" max="10" width="23.7109375" style="3" bestFit="1" customWidth="1"/>
    <col min="11" max="16384" width="9.140625" style="2"/>
  </cols>
  <sheetData>
    <row r="1" spans="1:10" ht="30.75" customHeight="1" x14ac:dyDescent="0.25">
      <c r="A1" s="66" t="s">
        <v>11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25">
      <c r="A2" s="64" t="s">
        <v>19</v>
      </c>
      <c r="B2" s="69" t="s">
        <v>2</v>
      </c>
      <c r="C2" s="70"/>
      <c r="D2" s="71" t="s">
        <v>3</v>
      </c>
      <c r="E2" s="71"/>
      <c r="F2" s="71" t="s">
        <v>6</v>
      </c>
      <c r="G2" s="71"/>
      <c r="H2" s="71" t="s">
        <v>8</v>
      </c>
      <c r="I2" s="71"/>
      <c r="J2" s="71" t="s">
        <v>1</v>
      </c>
    </row>
    <row r="3" spans="1:10" x14ac:dyDescent="0.25">
      <c r="A3" s="65"/>
      <c r="B3" s="9" t="s">
        <v>76</v>
      </c>
      <c r="C3" s="9" t="s">
        <v>10</v>
      </c>
      <c r="D3" s="9" t="s">
        <v>4</v>
      </c>
      <c r="E3" s="9" t="s">
        <v>5</v>
      </c>
      <c r="F3" s="9" t="s">
        <v>4</v>
      </c>
      <c r="G3" s="9" t="s">
        <v>7</v>
      </c>
      <c r="H3" s="8" t="s">
        <v>4</v>
      </c>
      <c r="I3" s="8" t="s">
        <v>9</v>
      </c>
      <c r="J3" s="71"/>
    </row>
    <row r="4" spans="1:10" x14ac:dyDescent="0.25">
      <c r="A4" s="137" t="s">
        <v>101</v>
      </c>
      <c r="B4" s="54">
        <v>66.58</v>
      </c>
      <c r="C4" s="43">
        <v>39.6</v>
      </c>
      <c r="D4" s="16">
        <v>6</v>
      </c>
      <c r="E4" s="16">
        <v>1000</v>
      </c>
      <c r="F4" s="16">
        <v>8</v>
      </c>
      <c r="G4" s="16">
        <v>800</v>
      </c>
      <c r="H4" s="10">
        <v>2</v>
      </c>
      <c r="I4" s="4">
        <v>2400</v>
      </c>
      <c r="J4" s="12" t="s">
        <v>109</v>
      </c>
    </row>
    <row r="5" spans="1:10" x14ac:dyDescent="0.25">
      <c r="A5" s="137" t="s">
        <v>102</v>
      </c>
      <c r="B5" s="54">
        <v>8.07</v>
      </c>
      <c r="C5" s="43">
        <v>11.8</v>
      </c>
      <c r="D5" s="16">
        <v>1</v>
      </c>
      <c r="E5" s="16">
        <v>100</v>
      </c>
      <c r="F5" s="16">
        <v>2</v>
      </c>
      <c r="G5" s="16">
        <v>200</v>
      </c>
      <c r="H5" s="10"/>
      <c r="I5" s="4"/>
      <c r="J5" s="11"/>
    </row>
    <row r="6" spans="1:10" x14ac:dyDescent="0.25">
      <c r="A6" s="137" t="s">
        <v>103</v>
      </c>
      <c r="B6" s="54">
        <v>11.56</v>
      </c>
      <c r="C6" s="54">
        <v>14.56</v>
      </c>
      <c r="D6" s="16">
        <v>1</v>
      </c>
      <c r="E6" s="16">
        <v>160</v>
      </c>
      <c r="F6" s="16">
        <v>3</v>
      </c>
      <c r="G6" s="16">
        <v>300</v>
      </c>
      <c r="H6" s="10"/>
      <c r="I6" s="4"/>
      <c r="J6" s="12"/>
    </row>
    <row r="7" spans="1:10" x14ac:dyDescent="0.25">
      <c r="A7" s="137" t="s">
        <v>104</v>
      </c>
      <c r="B7" s="54">
        <v>3.21</v>
      </c>
      <c r="C7" s="54">
        <v>7.54</v>
      </c>
      <c r="D7" s="16">
        <v>1</v>
      </c>
      <c r="E7" s="16">
        <v>100</v>
      </c>
      <c r="F7" s="16">
        <v>1</v>
      </c>
      <c r="G7" s="16">
        <v>100</v>
      </c>
      <c r="H7" s="10"/>
      <c r="I7" s="4"/>
      <c r="J7" s="11"/>
    </row>
    <row r="8" spans="1:10" x14ac:dyDescent="0.25">
      <c r="A8" s="137" t="s">
        <v>105</v>
      </c>
      <c r="B8" s="54">
        <v>3.17</v>
      </c>
      <c r="C8" s="54">
        <v>8.24</v>
      </c>
      <c r="D8" s="16">
        <v>1</v>
      </c>
      <c r="E8" s="16">
        <v>100</v>
      </c>
      <c r="F8" s="16">
        <v>1</v>
      </c>
      <c r="G8" s="16">
        <v>100</v>
      </c>
      <c r="H8" s="10"/>
      <c r="I8" s="4"/>
      <c r="J8" s="11"/>
    </row>
    <row r="9" spans="1:10" x14ac:dyDescent="0.25">
      <c r="A9" s="137" t="s">
        <v>15</v>
      </c>
      <c r="B9" s="54">
        <v>12.61</v>
      </c>
      <c r="C9" s="54">
        <v>18.68</v>
      </c>
      <c r="D9" s="16">
        <v>2</v>
      </c>
      <c r="E9" s="16">
        <v>160</v>
      </c>
      <c r="F9" s="16">
        <v>4</v>
      </c>
      <c r="G9" s="16">
        <v>400</v>
      </c>
      <c r="H9" s="10"/>
      <c r="I9" s="4"/>
      <c r="J9" s="12"/>
    </row>
    <row r="10" spans="1:10" x14ac:dyDescent="0.25">
      <c r="A10" s="137" t="s">
        <v>16</v>
      </c>
      <c r="B10" s="54">
        <v>3.45</v>
      </c>
      <c r="C10" s="43">
        <v>8.1</v>
      </c>
      <c r="D10" s="16">
        <v>1</v>
      </c>
      <c r="E10" s="16">
        <v>100</v>
      </c>
      <c r="F10" s="16">
        <v>1</v>
      </c>
      <c r="G10" s="16">
        <v>100</v>
      </c>
      <c r="H10" s="13"/>
      <c r="I10" s="14"/>
      <c r="J10" s="11"/>
    </row>
    <row r="11" spans="1:10" x14ac:dyDescent="0.25">
      <c r="A11" s="137" t="s">
        <v>106</v>
      </c>
      <c r="B11" s="54">
        <v>1.95</v>
      </c>
      <c r="C11" s="43">
        <v>5.6</v>
      </c>
      <c r="D11" s="16">
        <v>1</v>
      </c>
      <c r="E11" s="16">
        <v>100</v>
      </c>
      <c r="F11" s="16">
        <v>1</v>
      </c>
      <c r="G11" s="16">
        <v>100</v>
      </c>
      <c r="H11" s="10"/>
      <c r="I11" s="4"/>
      <c r="J11" s="11"/>
    </row>
    <row r="12" spans="1:10" x14ac:dyDescent="0.25">
      <c r="A12" s="137" t="s">
        <v>107</v>
      </c>
      <c r="B12" s="54">
        <v>4.24</v>
      </c>
      <c r="C12" s="54">
        <v>10.28</v>
      </c>
      <c r="D12" s="16">
        <v>1</v>
      </c>
      <c r="E12" s="16">
        <v>100</v>
      </c>
      <c r="F12" s="16">
        <v>1</v>
      </c>
      <c r="G12" s="16">
        <v>100</v>
      </c>
      <c r="H12" s="13"/>
      <c r="I12" s="14"/>
      <c r="J12" s="11"/>
    </row>
    <row r="13" spans="1:10" x14ac:dyDescent="0.25">
      <c r="A13" s="138" t="s">
        <v>108</v>
      </c>
      <c r="B13" s="55">
        <v>4.2</v>
      </c>
      <c r="C13" s="54">
        <v>9.15</v>
      </c>
      <c r="D13" s="16">
        <v>1</v>
      </c>
      <c r="E13" s="16">
        <v>100</v>
      </c>
      <c r="F13" s="16">
        <v>1</v>
      </c>
      <c r="G13" s="16">
        <v>100</v>
      </c>
      <c r="H13" s="13"/>
      <c r="I13" s="14"/>
      <c r="J13" s="12"/>
    </row>
    <row r="14" spans="1:10" x14ac:dyDescent="0.25">
      <c r="A14" s="138" t="s">
        <v>14</v>
      </c>
      <c r="B14" s="54">
        <v>1.41</v>
      </c>
      <c r="C14" s="43">
        <v>5</v>
      </c>
      <c r="D14" s="16">
        <v>1</v>
      </c>
      <c r="E14" s="16">
        <v>100</v>
      </c>
      <c r="F14" s="16">
        <v>1</v>
      </c>
      <c r="G14" s="16">
        <v>100</v>
      </c>
      <c r="H14" s="10"/>
      <c r="I14" s="4"/>
      <c r="J14" s="12"/>
    </row>
    <row r="15" spans="1:10" x14ac:dyDescent="0.25">
      <c r="A15" s="139" t="s">
        <v>112</v>
      </c>
      <c r="B15" s="56">
        <v>27.59</v>
      </c>
      <c r="C15" s="60">
        <v>25.18</v>
      </c>
      <c r="D15" s="57">
        <v>2</v>
      </c>
      <c r="E15" s="57">
        <v>400</v>
      </c>
      <c r="F15" s="57">
        <v>2</v>
      </c>
      <c r="G15" s="57">
        <v>200</v>
      </c>
      <c r="H15" s="58"/>
      <c r="I15" s="59"/>
      <c r="J15" s="18"/>
    </row>
    <row r="16" spans="1:10" x14ac:dyDescent="0.25">
      <c r="A16" s="17" t="s">
        <v>12</v>
      </c>
      <c r="B16" s="42">
        <f t="shared" ref="B16:G16" si="0">SUM(B4:B15)</f>
        <v>148.04</v>
      </c>
      <c r="C16" s="42">
        <f t="shared" si="0"/>
        <v>163.73000000000002</v>
      </c>
      <c r="D16" s="19">
        <f t="shared" si="0"/>
        <v>19</v>
      </c>
      <c r="E16" s="19">
        <f t="shared" si="0"/>
        <v>2520</v>
      </c>
      <c r="F16" s="19">
        <f t="shared" si="0"/>
        <v>26</v>
      </c>
      <c r="G16" s="19">
        <f t="shared" si="0"/>
        <v>2600</v>
      </c>
      <c r="H16" s="20">
        <f>SUM(H4:H14)</f>
        <v>2</v>
      </c>
      <c r="I16" s="21">
        <f>SUM(I4:I14)</f>
        <v>2400</v>
      </c>
      <c r="J16" s="18" t="s">
        <v>18</v>
      </c>
    </row>
    <row r="17" spans="4:10" x14ac:dyDescent="0.25">
      <c r="D17" s="5"/>
      <c r="E17" s="5"/>
      <c r="F17" s="7"/>
      <c r="G17" s="7"/>
      <c r="H17" s="5"/>
      <c r="I17" s="5"/>
      <c r="J17" s="15"/>
    </row>
    <row r="18" spans="4:10" x14ac:dyDescent="0.25">
      <c r="D18" s="6"/>
      <c r="E18" s="6"/>
      <c r="F18" s="5"/>
      <c r="G18" s="5"/>
      <c r="H18" s="5"/>
      <c r="I18" s="5"/>
      <c r="J18" s="15"/>
    </row>
    <row r="19" spans="4:10" x14ac:dyDescent="0.25">
      <c r="D19" s="6"/>
      <c r="E19" s="6"/>
      <c r="F19" s="5"/>
      <c r="G19" s="5"/>
      <c r="H19" s="5"/>
      <c r="I19" s="5"/>
      <c r="J19" s="15"/>
    </row>
    <row r="20" spans="4:10" x14ac:dyDescent="0.25">
      <c r="D20" s="6"/>
      <c r="E20" s="5"/>
      <c r="F20" s="5"/>
      <c r="G20" s="5"/>
      <c r="H20" s="6"/>
      <c r="I20" s="6"/>
      <c r="J20" s="15"/>
    </row>
    <row r="21" spans="4:10" x14ac:dyDescent="0.25">
      <c r="D21" s="5"/>
      <c r="E21" s="5"/>
      <c r="F21" s="5"/>
      <c r="G21" s="5"/>
      <c r="H21" s="6"/>
      <c r="I21" s="6"/>
      <c r="J21" s="15"/>
    </row>
    <row r="22" spans="4:10" x14ac:dyDescent="0.25">
      <c r="D22" s="5"/>
      <c r="E22" s="5"/>
      <c r="F22" s="6"/>
      <c r="G22" s="6"/>
      <c r="H22" s="5"/>
      <c r="I22" s="6"/>
      <c r="J22" s="15"/>
    </row>
    <row r="23" spans="4:10" x14ac:dyDescent="0.25">
      <c r="D23" s="5"/>
      <c r="E23" s="5"/>
      <c r="F23" s="5"/>
      <c r="G23" s="5"/>
      <c r="H23" s="5"/>
      <c r="I23" s="6"/>
      <c r="J23" s="15"/>
    </row>
    <row r="24" spans="4:10" x14ac:dyDescent="0.25">
      <c r="D24" s="5"/>
      <c r="E24" s="5"/>
      <c r="F24" s="5"/>
      <c r="G24" s="5"/>
      <c r="H24" s="5"/>
      <c r="I24" s="5"/>
      <c r="J24" s="15"/>
    </row>
    <row r="25" spans="4:10" x14ac:dyDescent="0.25">
      <c r="D25" s="5"/>
      <c r="E25" s="5"/>
      <c r="F25" s="5"/>
      <c r="G25" s="5"/>
      <c r="H25" s="5"/>
      <c r="I25" s="5"/>
      <c r="J25" s="15"/>
    </row>
    <row r="26" spans="4:10" x14ac:dyDescent="0.25">
      <c r="D26" s="5"/>
      <c r="E26" s="5"/>
      <c r="F26" s="5"/>
      <c r="G26" s="5"/>
      <c r="H26" s="5"/>
      <c r="I26" s="5"/>
      <c r="J26" s="15"/>
    </row>
    <row r="27" spans="4:10" x14ac:dyDescent="0.25">
      <c r="D27" s="5"/>
      <c r="E27" s="5"/>
      <c r="F27" s="6"/>
      <c r="G27" s="6"/>
      <c r="H27" s="5"/>
      <c r="I27" s="5"/>
      <c r="J27" s="15"/>
    </row>
    <row r="28" spans="4:10" x14ac:dyDescent="0.25">
      <c r="D28" s="5"/>
      <c r="E28" s="5"/>
      <c r="F28" s="6"/>
      <c r="G28" s="6"/>
      <c r="H28" s="5"/>
      <c r="I28" s="5"/>
      <c r="J28" s="15"/>
    </row>
    <row r="29" spans="4:10" x14ac:dyDescent="0.25">
      <c r="D29" s="5"/>
      <c r="E29" s="5"/>
      <c r="F29" s="5"/>
      <c r="G29" s="5"/>
      <c r="H29" s="5"/>
      <c r="I29" s="5"/>
      <c r="J29" s="15"/>
    </row>
    <row r="30" spans="4:10" x14ac:dyDescent="0.25">
      <c r="D30" s="5"/>
      <c r="E30" s="5"/>
      <c r="F30" s="5"/>
      <c r="G30" s="5"/>
      <c r="H30" s="5"/>
      <c r="I30" s="5"/>
      <c r="J30" s="15"/>
    </row>
    <row r="31" spans="4:10" x14ac:dyDescent="0.25">
      <c r="D31" s="5"/>
      <c r="E31" s="5"/>
      <c r="F31" s="5"/>
      <c r="G31" s="5"/>
      <c r="H31" s="5"/>
      <c r="I31" s="5"/>
      <c r="J31" s="15"/>
    </row>
    <row r="32" spans="4:10" x14ac:dyDescent="0.25">
      <c r="F32" s="5"/>
      <c r="G32" s="5"/>
      <c r="H32" s="5"/>
      <c r="I32" s="5"/>
      <c r="J32" s="15"/>
    </row>
    <row r="33" spans="6:10" x14ac:dyDescent="0.25">
      <c r="F33" s="5"/>
      <c r="G33" s="5"/>
      <c r="H33" s="5"/>
      <c r="I33" s="5"/>
      <c r="J33" s="15"/>
    </row>
    <row r="34" spans="6:10" x14ac:dyDescent="0.25">
      <c r="H34" s="5"/>
      <c r="I34" s="5"/>
      <c r="J34" s="15"/>
    </row>
  </sheetData>
  <mergeCells count="7">
    <mergeCell ref="A2:A3"/>
    <mergeCell ref="A1:J1"/>
    <mergeCell ref="B2:C2"/>
    <mergeCell ref="J2:J3"/>
    <mergeCell ref="D2:E2"/>
    <mergeCell ref="F2:G2"/>
    <mergeCell ref="H2:I2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3"/>
  <sheetViews>
    <sheetView workbookViewId="0">
      <selection activeCell="C29" sqref="C29:D30"/>
    </sheetView>
  </sheetViews>
  <sheetFormatPr defaultColWidth="9.140625" defaultRowHeight="15" x14ac:dyDescent="0.25"/>
  <cols>
    <col min="1" max="1" width="4.28515625" style="1" customWidth="1"/>
    <col min="2" max="2" width="18.5703125" style="1" customWidth="1"/>
    <col min="3" max="3" width="13" style="1" customWidth="1"/>
    <col min="4" max="4" width="10" style="1" customWidth="1"/>
    <col min="5" max="5" width="11.85546875" style="1" customWidth="1"/>
    <col min="6" max="6" width="12.5703125" style="1" customWidth="1"/>
    <col min="7" max="7" width="24.85546875" style="1" customWidth="1"/>
    <col min="8" max="8" width="12.42578125" style="1" bestFit="1" customWidth="1"/>
    <col min="9" max="9" width="14.28515625" style="1" customWidth="1"/>
    <col min="10" max="10" width="13.42578125" style="1" customWidth="1"/>
    <col min="11" max="11" width="2.85546875" style="1" customWidth="1"/>
    <col min="12" max="12" width="32.42578125" style="1" customWidth="1"/>
    <col min="13" max="13" width="29.85546875" style="1" customWidth="1"/>
    <col min="14" max="14" width="9.140625" style="1"/>
    <col min="15" max="15" width="10.28515625" style="1" bestFit="1" customWidth="1"/>
    <col min="16" max="16" width="13.5703125" style="1" customWidth="1"/>
    <col min="17" max="17" width="11.42578125" style="1" bestFit="1" customWidth="1"/>
    <col min="18" max="16384" width="9.140625" style="1"/>
  </cols>
  <sheetData>
    <row r="2" spans="2:13" ht="23.25" customHeight="1" x14ac:dyDescent="0.25">
      <c r="B2" s="102" t="s">
        <v>38</v>
      </c>
      <c r="C2" s="103"/>
      <c r="D2" s="103"/>
      <c r="E2" s="104"/>
      <c r="G2" s="64" t="s">
        <v>37</v>
      </c>
      <c r="H2" s="100"/>
      <c r="I2" s="100"/>
      <c r="J2" s="100"/>
    </row>
    <row r="3" spans="2:13" ht="30.75" customHeight="1" x14ac:dyDescent="0.25">
      <c r="B3" s="26" t="s">
        <v>40</v>
      </c>
      <c r="C3" s="32" t="s">
        <v>39</v>
      </c>
      <c r="D3" s="31" t="s">
        <v>35</v>
      </c>
      <c r="E3" s="31" t="s">
        <v>34</v>
      </c>
      <c r="G3" s="26" t="s">
        <v>40</v>
      </c>
      <c r="H3" s="31" t="s">
        <v>33</v>
      </c>
      <c r="I3" s="31" t="s">
        <v>32</v>
      </c>
      <c r="J3" s="31" t="s">
        <v>22</v>
      </c>
      <c r="L3" s="1" t="s">
        <v>70</v>
      </c>
    </row>
    <row r="4" spans="2:13" x14ac:dyDescent="0.25">
      <c r="B4" s="31" t="s">
        <v>31</v>
      </c>
      <c r="C4" s="31">
        <v>2520</v>
      </c>
      <c r="D4" s="35">
        <v>1</v>
      </c>
      <c r="E4" s="31">
        <f>D4*C4</f>
        <v>2520</v>
      </c>
      <c r="G4" s="31" t="s">
        <v>31</v>
      </c>
      <c r="H4" s="31">
        <v>2520</v>
      </c>
      <c r="I4" s="31">
        <v>0.66</v>
      </c>
      <c r="J4" s="31">
        <f t="shared" ref="J4:J9" si="0">H4*I4</f>
        <v>1663.2</v>
      </c>
    </row>
    <row r="5" spans="2:13" x14ac:dyDescent="0.25">
      <c r="B5" s="31" t="s">
        <v>30</v>
      </c>
      <c r="C5" s="31">
        <v>2600</v>
      </c>
      <c r="D5" s="31">
        <v>0.8</v>
      </c>
      <c r="E5" s="31">
        <f>D5*C5</f>
        <v>2080</v>
      </c>
      <c r="G5" s="26" t="s">
        <v>30</v>
      </c>
      <c r="H5" s="31">
        <v>2600</v>
      </c>
      <c r="I5" s="31">
        <v>0.2</v>
      </c>
      <c r="J5" s="61">
        <f>SUM(I5*5*200*26*0.8)</f>
        <v>4160</v>
      </c>
      <c r="K5" s="41" t="s">
        <v>69</v>
      </c>
      <c r="L5" s="1" t="s">
        <v>110</v>
      </c>
      <c r="M5" s="1" t="s">
        <v>111</v>
      </c>
    </row>
    <row r="6" spans="2:13" ht="15" customHeight="1" x14ac:dyDescent="0.25">
      <c r="B6" s="31" t="s">
        <v>29</v>
      </c>
      <c r="C6" s="31">
        <v>2400</v>
      </c>
      <c r="D6" s="35">
        <v>1</v>
      </c>
      <c r="E6" s="31">
        <f>D6*C6</f>
        <v>2400</v>
      </c>
      <c r="G6" s="31" t="s">
        <v>71</v>
      </c>
      <c r="H6" s="31">
        <v>0</v>
      </c>
      <c r="I6" s="35">
        <v>1</v>
      </c>
      <c r="J6" s="31">
        <f t="shared" si="0"/>
        <v>0</v>
      </c>
      <c r="K6" s="41" t="s">
        <v>69</v>
      </c>
      <c r="L6" s="1" t="s">
        <v>72</v>
      </c>
    </row>
    <row r="7" spans="2:13" ht="15" customHeight="1" x14ac:dyDescent="0.25">
      <c r="B7" s="88" t="s">
        <v>41</v>
      </c>
      <c r="C7" s="89"/>
      <c r="D7" s="92">
        <v>0.52</v>
      </c>
      <c r="E7" s="93"/>
      <c r="G7" s="31" t="s">
        <v>73</v>
      </c>
      <c r="H7" s="31">
        <v>0</v>
      </c>
      <c r="I7" s="31">
        <v>0.5</v>
      </c>
      <c r="J7" s="31">
        <f t="shared" si="0"/>
        <v>0</v>
      </c>
    </row>
    <row r="8" spans="2:13" ht="45" x14ac:dyDescent="0.25">
      <c r="B8" s="90"/>
      <c r="C8" s="91"/>
      <c r="D8" s="94"/>
      <c r="E8" s="95"/>
      <c r="G8" s="34" t="s">
        <v>27</v>
      </c>
      <c r="H8" s="31">
        <v>0</v>
      </c>
      <c r="I8" s="31">
        <v>0.7</v>
      </c>
      <c r="J8" s="31">
        <f t="shared" si="0"/>
        <v>0</v>
      </c>
    </row>
    <row r="9" spans="2:13" ht="21.75" customHeight="1" x14ac:dyDescent="0.25">
      <c r="B9" s="101" t="s">
        <v>26</v>
      </c>
      <c r="C9" s="92"/>
      <c r="D9" s="92"/>
      <c r="E9" s="93"/>
      <c r="G9" s="31" t="s">
        <v>25</v>
      </c>
      <c r="H9" s="31">
        <v>2400</v>
      </c>
      <c r="I9" s="31">
        <v>0.8</v>
      </c>
      <c r="J9" s="31">
        <f t="shared" si="0"/>
        <v>1920</v>
      </c>
    </row>
    <row r="10" spans="2:13" x14ac:dyDescent="0.25">
      <c r="B10" s="96" t="s">
        <v>74</v>
      </c>
      <c r="C10" s="97"/>
      <c r="D10" s="98">
        <f>(E4+E5)*D7+E6</f>
        <v>4792</v>
      </c>
      <c r="E10" s="99"/>
      <c r="G10" s="33" t="s">
        <v>74</v>
      </c>
      <c r="H10" s="31"/>
      <c r="I10" s="31"/>
      <c r="J10" s="31">
        <f>SUM(J4:J9)</f>
        <v>7743.2</v>
      </c>
    </row>
    <row r="15" spans="2:13" ht="27" customHeight="1" x14ac:dyDescent="0.25">
      <c r="B15" s="105" t="s">
        <v>36</v>
      </c>
      <c r="C15" s="106"/>
      <c r="D15" s="106"/>
      <c r="E15" s="106"/>
      <c r="F15" s="106"/>
      <c r="G15" s="106"/>
      <c r="H15" s="106"/>
      <c r="I15" s="107"/>
    </row>
    <row r="16" spans="2:13" x14ac:dyDescent="0.25">
      <c r="B16" s="77" t="s">
        <v>0</v>
      </c>
      <c r="C16" s="78"/>
      <c r="D16" s="75" t="s">
        <v>75</v>
      </c>
      <c r="E16" s="83"/>
      <c r="F16" s="83"/>
      <c r="G16" s="76"/>
      <c r="H16" s="75" t="s">
        <v>78</v>
      </c>
      <c r="I16" s="76"/>
    </row>
    <row r="17" spans="1:10" x14ac:dyDescent="0.25">
      <c r="B17" s="77">
        <v>148.04</v>
      </c>
      <c r="C17" s="78"/>
      <c r="D17" s="84">
        <f>SUM(32*B17)</f>
        <v>4737.28</v>
      </c>
      <c r="E17" s="85"/>
      <c r="F17" s="85"/>
      <c r="G17" s="86"/>
      <c r="H17" s="77"/>
      <c r="I17" s="78"/>
    </row>
    <row r="18" spans="1:10" x14ac:dyDescent="0.25">
      <c r="B18" s="77" t="s">
        <v>13</v>
      </c>
      <c r="C18" s="78"/>
      <c r="D18" s="84">
        <v>0</v>
      </c>
      <c r="E18" s="85"/>
      <c r="F18" s="85"/>
      <c r="G18" s="86"/>
      <c r="H18" s="79">
        <f>SUM((D20-3000)*0.35+3000)</f>
        <v>3608.0479999999998</v>
      </c>
      <c r="I18" s="80"/>
    </row>
    <row r="19" spans="1:10" x14ac:dyDescent="0.25">
      <c r="B19" s="77" t="s">
        <v>28</v>
      </c>
      <c r="C19" s="78"/>
      <c r="D19" s="84">
        <v>0</v>
      </c>
      <c r="E19" s="85"/>
      <c r="F19" s="85"/>
      <c r="G19" s="86"/>
      <c r="H19" s="79"/>
      <c r="I19" s="80"/>
    </row>
    <row r="20" spans="1:10" x14ac:dyDescent="0.25">
      <c r="B20" s="116" t="s">
        <v>77</v>
      </c>
      <c r="C20" s="117"/>
      <c r="D20" s="118">
        <f>SUM(D17:F19)</f>
        <v>4737.28</v>
      </c>
      <c r="E20" s="119"/>
      <c r="F20" s="119"/>
      <c r="G20" s="120"/>
      <c r="H20" s="81"/>
      <c r="I20" s="82"/>
    </row>
    <row r="21" spans="1:10" ht="15.75" thickBot="1" x14ac:dyDescent="0.3"/>
    <row r="22" spans="1:10" x14ac:dyDescent="0.25">
      <c r="B22" s="108" t="s">
        <v>24</v>
      </c>
      <c r="C22" s="109"/>
      <c r="D22" s="109"/>
      <c r="E22" s="112" t="s">
        <v>80</v>
      </c>
      <c r="F22" s="114" t="s">
        <v>23</v>
      </c>
      <c r="G22" s="114"/>
      <c r="H22" s="114"/>
      <c r="I22" s="87" t="s">
        <v>80</v>
      </c>
    </row>
    <row r="23" spans="1:10" x14ac:dyDescent="0.25">
      <c r="B23" s="110"/>
      <c r="C23" s="111"/>
      <c r="D23" s="111"/>
      <c r="E23" s="113"/>
      <c r="F23" s="115"/>
      <c r="G23" s="115"/>
      <c r="H23" s="115"/>
      <c r="I23" s="87"/>
    </row>
    <row r="24" spans="1:10" x14ac:dyDescent="0.25">
      <c r="B24" s="110"/>
      <c r="C24" s="111"/>
      <c r="D24" s="111"/>
      <c r="E24" s="113"/>
      <c r="F24" s="115"/>
      <c r="G24" s="115"/>
      <c r="H24" s="115"/>
      <c r="I24" s="87"/>
    </row>
    <row r="25" spans="1:10" x14ac:dyDescent="0.25">
      <c r="B25" s="110"/>
      <c r="C25" s="111"/>
      <c r="D25" s="111"/>
      <c r="E25" s="113"/>
      <c r="F25" s="115"/>
      <c r="G25" s="115"/>
      <c r="H25" s="115"/>
      <c r="I25" s="87"/>
    </row>
    <row r="26" spans="1:10" x14ac:dyDescent="0.25">
      <c r="B26" s="30" t="s">
        <v>40</v>
      </c>
      <c r="C26" s="26" t="s">
        <v>21</v>
      </c>
      <c r="D26" s="26" t="s">
        <v>79</v>
      </c>
      <c r="E26" s="44">
        <f>SUM(E27:E27)</f>
        <v>2400</v>
      </c>
      <c r="F26" s="30" t="s">
        <v>40</v>
      </c>
      <c r="G26" s="26" t="s">
        <v>21</v>
      </c>
      <c r="H26" s="26" t="s">
        <v>79</v>
      </c>
      <c r="I26" s="45">
        <f>SUM(I27:I40)</f>
        <v>0</v>
      </c>
    </row>
    <row r="27" spans="1:10" x14ac:dyDescent="0.25">
      <c r="B27" s="30" t="s">
        <v>17</v>
      </c>
      <c r="C27" s="26">
        <v>2</v>
      </c>
      <c r="D27" s="26">
        <v>1200</v>
      </c>
      <c r="E27" s="25">
        <f t="shared" ref="E27" si="1">D27*C27</f>
        <v>2400</v>
      </c>
      <c r="F27" s="27" t="s">
        <v>20</v>
      </c>
      <c r="G27" s="26">
        <v>0</v>
      </c>
      <c r="H27" s="26">
        <v>0</v>
      </c>
      <c r="I27" s="25">
        <f t="shared" ref="I27" si="2">H27*G27</f>
        <v>0</v>
      </c>
    </row>
    <row r="28" spans="1:10" ht="15.75" thickBot="1" x14ac:dyDescent="0.3">
      <c r="B28" s="29"/>
      <c r="C28" s="28"/>
      <c r="D28" s="28"/>
      <c r="E28" s="22"/>
      <c r="F28" s="24"/>
      <c r="G28" s="23"/>
      <c r="H28" s="23"/>
      <c r="I28" s="22"/>
    </row>
    <row r="29" spans="1:10" x14ac:dyDescent="0.25">
      <c r="A29" s="5"/>
      <c r="B29" s="72" t="s">
        <v>81</v>
      </c>
      <c r="C29" s="73">
        <f>SUM(H18+E26+I26)</f>
        <v>6008.0479999999998</v>
      </c>
      <c r="D29" s="74"/>
    </row>
    <row r="30" spans="1:10" x14ac:dyDescent="0.25">
      <c r="A30" s="5"/>
      <c r="B30" s="72"/>
      <c r="C30" s="74"/>
      <c r="D30" s="74"/>
      <c r="E30" s="5"/>
      <c r="F30" s="5"/>
      <c r="G30" s="5"/>
      <c r="H30" s="5"/>
      <c r="I30" s="5"/>
      <c r="J30" s="5"/>
    </row>
    <row r="31" spans="1:10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10" x14ac:dyDescent="0.25">
      <c r="B32" s="5"/>
      <c r="C32" s="5"/>
      <c r="D32" s="5"/>
      <c r="E32" s="5"/>
      <c r="F32" s="5"/>
      <c r="G32" s="5"/>
      <c r="H32" s="5"/>
      <c r="I32" s="5"/>
    </row>
    <row r="33" spans="2:9" x14ac:dyDescent="0.25">
      <c r="B33" s="5"/>
      <c r="C33" s="5"/>
      <c r="D33" s="5"/>
      <c r="E33" s="5"/>
      <c r="F33" s="5"/>
      <c r="G33" s="5"/>
      <c r="H33" s="5"/>
      <c r="I33" s="5"/>
    </row>
    <row r="34" spans="2:9" x14ac:dyDescent="0.25">
      <c r="B34" s="5"/>
      <c r="C34" s="5"/>
      <c r="D34" s="5"/>
      <c r="E34" s="5"/>
      <c r="F34" s="5"/>
      <c r="G34" s="5"/>
      <c r="H34" s="5"/>
      <c r="I34" s="5"/>
    </row>
    <row r="35" spans="2:9" x14ac:dyDescent="0.25">
      <c r="B35" s="5"/>
      <c r="C35" s="5"/>
      <c r="D35" s="5"/>
      <c r="E35" s="5"/>
      <c r="F35" s="5"/>
      <c r="G35" s="5"/>
      <c r="H35" s="5"/>
      <c r="I35" s="5"/>
    </row>
    <row r="36" spans="2:9" x14ac:dyDescent="0.25">
      <c r="B36" s="5"/>
      <c r="C36" s="5"/>
      <c r="D36" s="5"/>
      <c r="E36" s="5"/>
      <c r="F36" s="5"/>
      <c r="G36" s="5"/>
      <c r="H36" s="5"/>
      <c r="I36" s="5"/>
    </row>
    <row r="37" spans="2:9" x14ac:dyDescent="0.25">
      <c r="B37" s="5"/>
      <c r="C37" s="5"/>
      <c r="D37" s="5"/>
      <c r="E37" s="5"/>
      <c r="F37" s="5"/>
      <c r="G37" s="5"/>
      <c r="H37" s="5"/>
      <c r="I37" s="5"/>
    </row>
    <row r="38" spans="2:9" x14ac:dyDescent="0.25">
      <c r="B38" s="5"/>
      <c r="C38" s="5"/>
      <c r="D38" s="5"/>
      <c r="E38" s="5"/>
      <c r="F38" s="5"/>
      <c r="G38" s="5"/>
      <c r="H38" s="5"/>
      <c r="I38" s="5"/>
    </row>
    <row r="39" spans="2:9" x14ac:dyDescent="0.25">
      <c r="B39" s="5"/>
      <c r="C39" s="5"/>
      <c r="D39" s="5"/>
      <c r="E39" s="5"/>
      <c r="F39" s="5"/>
      <c r="G39" s="5"/>
      <c r="H39" s="5"/>
      <c r="I39" s="5"/>
    </row>
    <row r="40" spans="2:9" x14ac:dyDescent="0.25">
      <c r="B40" s="5"/>
      <c r="C40" s="5"/>
      <c r="D40" s="5"/>
      <c r="E40" s="5"/>
      <c r="F40" s="5"/>
      <c r="G40" s="5"/>
      <c r="H40" s="5"/>
      <c r="I40" s="5"/>
    </row>
    <row r="41" spans="2:9" x14ac:dyDescent="0.25">
      <c r="B41" s="5"/>
      <c r="C41" s="5"/>
      <c r="D41" s="5"/>
      <c r="E41" s="5"/>
      <c r="F41" s="5"/>
      <c r="G41" s="5"/>
      <c r="H41" s="5"/>
      <c r="I41" s="5"/>
    </row>
    <row r="42" spans="2:9" x14ac:dyDescent="0.25">
      <c r="B42" s="5"/>
      <c r="C42" s="5"/>
      <c r="D42" s="5"/>
      <c r="E42" s="5"/>
      <c r="F42" s="5"/>
      <c r="G42" s="5"/>
      <c r="H42" s="5"/>
      <c r="I42" s="5"/>
    </row>
    <row r="43" spans="2:9" x14ac:dyDescent="0.25">
      <c r="B43" s="5"/>
      <c r="C43" s="5"/>
      <c r="D43" s="5"/>
      <c r="E43" s="5"/>
      <c r="F43" s="5"/>
      <c r="G43" s="5"/>
      <c r="H43" s="5"/>
      <c r="I43" s="5"/>
    </row>
  </sheetData>
  <mergeCells count="26">
    <mergeCell ref="B15:I15"/>
    <mergeCell ref="B22:D25"/>
    <mergeCell ref="E22:E25"/>
    <mergeCell ref="F22:H25"/>
    <mergeCell ref="B16:C16"/>
    <mergeCell ref="B17:C17"/>
    <mergeCell ref="B18:C18"/>
    <mergeCell ref="B19:C19"/>
    <mergeCell ref="B20:C20"/>
    <mergeCell ref="D19:G19"/>
    <mergeCell ref="D20:G20"/>
    <mergeCell ref="B7:C8"/>
    <mergeCell ref="D7:E8"/>
    <mergeCell ref="B10:C10"/>
    <mergeCell ref="D10:E10"/>
    <mergeCell ref="G2:J2"/>
    <mergeCell ref="B9:E9"/>
    <mergeCell ref="B2:E2"/>
    <mergeCell ref="B29:B30"/>
    <mergeCell ref="C29:D30"/>
    <mergeCell ref="H16:I17"/>
    <mergeCell ref="H18:I20"/>
    <mergeCell ref="D16:G16"/>
    <mergeCell ref="D17:G17"/>
    <mergeCell ref="D18:G18"/>
    <mergeCell ref="I22:I2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J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workbookViewId="0">
      <selection activeCell="J13" sqref="J13"/>
    </sheetView>
  </sheetViews>
  <sheetFormatPr defaultRowHeight="15" x14ac:dyDescent="0.25"/>
  <cols>
    <col min="3" max="3" width="10.7109375" customWidth="1"/>
    <col min="5" max="5" width="11.85546875" customWidth="1"/>
    <col min="6" max="6" width="2.85546875" customWidth="1"/>
  </cols>
  <sheetData>
    <row r="2" spans="2:5" x14ac:dyDescent="0.25">
      <c r="B2" s="121" t="s">
        <v>82</v>
      </c>
      <c r="C2" s="121"/>
      <c r="D2" s="124" t="s">
        <v>86</v>
      </c>
      <c r="E2" s="124"/>
    </row>
    <row r="3" spans="2:5" x14ac:dyDescent="0.25">
      <c r="B3" s="121"/>
      <c r="C3" s="121"/>
      <c r="D3" s="124"/>
      <c r="E3" s="124"/>
    </row>
    <row r="4" spans="2:5" x14ac:dyDescent="0.25">
      <c r="B4" s="122" t="s">
        <v>83</v>
      </c>
      <c r="C4" s="122"/>
      <c r="D4" s="122">
        <v>4792</v>
      </c>
      <c r="E4" s="122"/>
    </row>
    <row r="5" spans="2:5" x14ac:dyDescent="0.25">
      <c r="B5" s="123" t="s">
        <v>84</v>
      </c>
      <c r="C5" s="123"/>
      <c r="D5" s="123">
        <v>7743.2</v>
      </c>
      <c r="E5" s="123"/>
    </row>
    <row r="6" spans="2:5" x14ac:dyDescent="0.25">
      <c r="B6" s="122" t="s">
        <v>85</v>
      </c>
      <c r="C6" s="122"/>
      <c r="D6" s="125">
        <v>6008.0479999999998</v>
      </c>
      <c r="E6" s="126"/>
    </row>
    <row r="10" spans="2:5" x14ac:dyDescent="0.25">
      <c r="B10" t="s">
        <v>88</v>
      </c>
    </row>
    <row r="11" spans="2:5" x14ac:dyDescent="0.25">
      <c r="B11" s="46" t="s">
        <v>87</v>
      </c>
      <c r="C11" s="47">
        <f>SUM(D5/(SQRT(3)*380*0.92))</f>
        <v>12.787581820334983</v>
      </c>
    </row>
  </sheetData>
  <mergeCells count="8">
    <mergeCell ref="B2:C3"/>
    <mergeCell ref="B4:C4"/>
    <mergeCell ref="B5:C5"/>
    <mergeCell ref="B6:C6"/>
    <mergeCell ref="D2:E3"/>
    <mergeCell ref="D4:E4"/>
    <mergeCell ref="D5:E5"/>
    <mergeCell ref="D6:E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zoomScaleNormal="100" workbookViewId="0">
      <pane ySplit="2" topLeftCell="A3" activePane="bottomLeft" state="frozen"/>
      <selection pane="bottomLeft" activeCell="A8" sqref="A8:XFD8"/>
    </sheetView>
  </sheetViews>
  <sheetFormatPr defaultColWidth="9.140625" defaultRowHeight="15" x14ac:dyDescent="0.25"/>
  <cols>
    <col min="1" max="1" width="8.28515625" style="39" customWidth="1"/>
    <col min="2" max="2" width="7" style="39" bestFit="1" customWidth="1"/>
    <col min="3" max="3" width="9.5703125" style="39" customWidth="1"/>
    <col min="4" max="4" width="7.7109375" style="39" customWidth="1"/>
    <col min="5" max="5" width="9.28515625" style="39" customWidth="1"/>
    <col min="6" max="6" width="7.7109375" style="39" customWidth="1"/>
    <col min="7" max="8" width="9.42578125" style="39" customWidth="1"/>
    <col min="9" max="10" width="8.85546875" style="39" customWidth="1"/>
    <col min="11" max="11" width="61.85546875" style="39" bestFit="1" customWidth="1"/>
    <col min="12" max="16384" width="9.140625" style="49"/>
  </cols>
  <sheetData>
    <row r="1" spans="1:14" ht="30.75" customHeight="1" x14ac:dyDescent="0.25">
      <c r="A1" s="133" t="s">
        <v>89</v>
      </c>
      <c r="B1" s="133"/>
      <c r="C1" s="133"/>
      <c r="D1" s="133"/>
      <c r="E1" s="133"/>
      <c r="F1" s="133"/>
      <c r="G1" s="133"/>
      <c r="H1" s="133"/>
      <c r="I1" s="133"/>
      <c r="J1" s="133"/>
      <c r="K1" s="134"/>
      <c r="L1" s="127" t="s">
        <v>120</v>
      </c>
      <c r="M1" s="128"/>
      <c r="N1" s="129"/>
    </row>
    <row r="2" spans="1:14" ht="20.25" customHeight="1" x14ac:dyDescent="0.25">
      <c r="A2" s="135" t="s">
        <v>96</v>
      </c>
      <c r="B2" s="71" t="s">
        <v>93</v>
      </c>
      <c r="C2" s="135" t="s">
        <v>99</v>
      </c>
      <c r="D2" s="71" t="s">
        <v>97</v>
      </c>
      <c r="E2" s="71"/>
      <c r="F2" s="71" t="s">
        <v>30</v>
      </c>
      <c r="G2" s="71"/>
      <c r="H2" s="48" t="s">
        <v>29</v>
      </c>
      <c r="I2" s="71" t="s">
        <v>94</v>
      </c>
      <c r="J2" s="71" t="s">
        <v>95</v>
      </c>
      <c r="K2" s="69" t="s">
        <v>40</v>
      </c>
      <c r="L2" s="130"/>
      <c r="M2" s="131"/>
      <c r="N2" s="132"/>
    </row>
    <row r="3" spans="1:14" ht="27" customHeight="1" x14ac:dyDescent="0.25">
      <c r="A3" s="135"/>
      <c r="B3" s="71"/>
      <c r="C3" s="135"/>
      <c r="D3" s="51" t="s">
        <v>98</v>
      </c>
      <c r="E3" s="48" t="s">
        <v>100</v>
      </c>
      <c r="F3" s="48" t="s">
        <v>98</v>
      </c>
      <c r="G3" s="48" t="s">
        <v>100</v>
      </c>
      <c r="H3" s="48" t="s">
        <v>100</v>
      </c>
      <c r="I3" s="71"/>
      <c r="J3" s="71"/>
      <c r="K3" s="69"/>
      <c r="L3" s="63" t="s">
        <v>90</v>
      </c>
      <c r="M3" s="63" t="s">
        <v>91</v>
      </c>
      <c r="N3" s="63" t="s">
        <v>92</v>
      </c>
    </row>
    <row r="4" spans="1:14" ht="22.5" customHeight="1" x14ac:dyDescent="0.25">
      <c r="A4" s="50">
        <v>1</v>
      </c>
      <c r="B4" s="1" t="s">
        <v>113</v>
      </c>
      <c r="C4" s="1">
        <v>15</v>
      </c>
      <c r="D4" s="1">
        <v>9</v>
      </c>
      <c r="E4" s="1">
        <v>1300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t="s">
        <v>114</v>
      </c>
      <c r="L4" s="62">
        <f>1300+400+576</f>
        <v>2276</v>
      </c>
      <c r="M4" s="62">
        <f>1220+400+640</f>
        <v>2260</v>
      </c>
      <c r="N4" s="62">
        <v>2400</v>
      </c>
    </row>
    <row r="5" spans="1:14" x14ac:dyDescent="0.25">
      <c r="A5" s="50">
        <v>2</v>
      </c>
      <c r="B5" s="1" t="s">
        <v>113</v>
      </c>
      <c r="C5" s="1">
        <v>15</v>
      </c>
      <c r="D5" s="1">
        <v>10</v>
      </c>
      <c r="E5" s="1">
        <v>1220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91</v>
      </c>
      <c r="K5" t="s">
        <v>115</v>
      </c>
      <c r="L5" s="53"/>
      <c r="M5" s="53"/>
      <c r="N5" s="53"/>
    </row>
    <row r="6" spans="1:14" x14ac:dyDescent="0.25">
      <c r="A6" s="50">
        <v>3</v>
      </c>
      <c r="B6" s="1"/>
      <c r="C6" s="1"/>
      <c r="D6" s="1"/>
      <c r="E6" s="1"/>
      <c r="F6" s="1">
        <v>5</v>
      </c>
      <c r="G6" s="1">
        <v>400</v>
      </c>
      <c r="H6" s="1" t="s">
        <v>18</v>
      </c>
      <c r="I6" s="1" t="s">
        <v>18</v>
      </c>
      <c r="J6" s="1" t="s">
        <v>90</v>
      </c>
      <c r="K6" t="s">
        <v>116</v>
      </c>
      <c r="L6" s="53"/>
      <c r="M6" s="53"/>
      <c r="N6" s="53"/>
    </row>
    <row r="7" spans="1:14" x14ac:dyDescent="0.25">
      <c r="A7" s="50">
        <v>4</v>
      </c>
      <c r="B7" s="1"/>
      <c r="C7" s="1"/>
      <c r="D7" s="1"/>
      <c r="E7" s="1"/>
      <c r="F7" s="1">
        <v>5</v>
      </c>
      <c r="G7" s="1">
        <v>400</v>
      </c>
      <c r="H7" s="1"/>
      <c r="I7" s="1"/>
      <c r="J7" s="1" t="s">
        <v>91</v>
      </c>
      <c r="K7" t="s">
        <v>119</v>
      </c>
      <c r="L7" s="53"/>
      <c r="M7" s="53"/>
      <c r="N7" s="53"/>
    </row>
    <row r="8" spans="1:14" x14ac:dyDescent="0.25">
      <c r="A8" s="50">
        <f>A7+1</f>
        <v>5</v>
      </c>
      <c r="B8" s="1"/>
      <c r="C8" s="1"/>
      <c r="D8" s="1"/>
      <c r="E8" s="1"/>
      <c r="F8" s="1">
        <v>8</v>
      </c>
      <c r="G8" s="1">
        <v>640</v>
      </c>
      <c r="H8" s="1" t="s">
        <v>18</v>
      </c>
      <c r="I8" s="1" t="s">
        <v>18</v>
      </c>
      <c r="J8" s="1" t="s">
        <v>91</v>
      </c>
      <c r="K8" t="s">
        <v>117</v>
      </c>
      <c r="L8" s="53"/>
      <c r="M8" s="53"/>
      <c r="N8" s="53"/>
    </row>
    <row r="9" spans="1:14" x14ac:dyDescent="0.25">
      <c r="A9" s="50">
        <f t="shared" ref="A9:A10" si="0">A8+1</f>
        <v>6</v>
      </c>
      <c r="B9" s="1"/>
      <c r="C9" s="1"/>
      <c r="D9" s="1"/>
      <c r="E9" s="1"/>
      <c r="F9" s="1">
        <v>8</v>
      </c>
      <c r="G9" s="1">
        <v>576</v>
      </c>
      <c r="H9" s="1" t="s">
        <v>18</v>
      </c>
      <c r="I9" s="1" t="s">
        <v>18</v>
      </c>
      <c r="J9" s="1" t="s">
        <v>90</v>
      </c>
      <c r="K9" t="s">
        <v>118</v>
      </c>
    </row>
    <row r="10" spans="1:14" x14ac:dyDescent="0.25">
      <c r="A10" s="50">
        <f t="shared" si="0"/>
        <v>7</v>
      </c>
      <c r="B10" s="1"/>
      <c r="C10" s="1"/>
      <c r="D10" s="1"/>
      <c r="E10" s="1"/>
      <c r="F10" s="1"/>
      <c r="G10" s="1"/>
      <c r="H10" s="1">
        <v>2400</v>
      </c>
      <c r="I10" s="1"/>
      <c r="J10" s="1" t="s">
        <v>92</v>
      </c>
      <c r="K10" t="s">
        <v>121</v>
      </c>
    </row>
    <row r="11" spans="1:14" ht="14.25" customHeight="1" x14ac:dyDescent="0.25">
      <c r="A11" s="50"/>
      <c r="B11"/>
      <c r="C11"/>
      <c r="D11"/>
      <c r="E11"/>
      <c r="F11"/>
      <c r="G11"/>
      <c r="H11"/>
      <c r="I11"/>
      <c r="J11"/>
      <c r="K11"/>
    </row>
    <row r="12" spans="1:14" x14ac:dyDescent="0.25">
      <c r="A12"/>
      <c r="B12"/>
      <c r="C12"/>
      <c r="D12"/>
      <c r="E12"/>
      <c r="F12"/>
      <c r="G12"/>
      <c r="H12"/>
      <c r="I12"/>
      <c r="J12"/>
      <c r="K12"/>
    </row>
    <row r="13" spans="1:14" x14ac:dyDescent="0.25">
      <c r="A13"/>
      <c r="B13"/>
      <c r="C13"/>
      <c r="D13"/>
      <c r="E13"/>
      <c r="F13"/>
      <c r="G13"/>
      <c r="H13"/>
      <c r="I13"/>
      <c r="J13"/>
      <c r="K13"/>
    </row>
    <row r="14" spans="1:14" x14ac:dyDescent="0.25">
      <c r="A14"/>
      <c r="B14"/>
      <c r="C14"/>
      <c r="D14"/>
      <c r="E14"/>
      <c r="F14"/>
      <c r="G14"/>
      <c r="H14"/>
      <c r="I14"/>
      <c r="J14"/>
      <c r="K14"/>
    </row>
    <row r="15" spans="1:14" x14ac:dyDescent="0.25">
      <c r="A15"/>
      <c r="B15"/>
      <c r="C15"/>
      <c r="D15"/>
      <c r="E15"/>
      <c r="F15"/>
      <c r="G15"/>
      <c r="H15"/>
      <c r="I15"/>
      <c r="J15"/>
      <c r="K15"/>
    </row>
    <row r="16" spans="1:14" x14ac:dyDescent="0.25">
      <c r="A16"/>
      <c r="B16"/>
      <c r="C16"/>
      <c r="D16"/>
      <c r="E16"/>
      <c r="F16"/>
      <c r="G16"/>
      <c r="H16"/>
      <c r="I16"/>
      <c r="J16"/>
      <c r="K16"/>
    </row>
    <row r="17" spans="1:11" x14ac:dyDescent="0.25">
      <c r="A17"/>
      <c r="B17"/>
      <c r="C17"/>
      <c r="D17"/>
      <c r="E17"/>
      <c r="F17"/>
      <c r="G17"/>
      <c r="H17"/>
      <c r="I17"/>
      <c r="J17"/>
      <c r="K17"/>
    </row>
    <row r="18" spans="1:11" x14ac:dyDescent="0.25">
      <c r="A18"/>
      <c r="B18"/>
      <c r="C18"/>
      <c r="D18"/>
      <c r="E18"/>
      <c r="F18"/>
      <c r="G18"/>
      <c r="H18"/>
      <c r="I18"/>
      <c r="J18"/>
      <c r="K18"/>
    </row>
    <row r="19" spans="1:11" x14ac:dyDescent="0.25">
      <c r="A19"/>
      <c r="B19"/>
      <c r="C19"/>
      <c r="D19"/>
      <c r="E19"/>
      <c r="F19"/>
      <c r="G19"/>
      <c r="H19"/>
      <c r="I19"/>
      <c r="J19"/>
      <c r="K19"/>
    </row>
    <row r="20" spans="1:11" x14ac:dyDescent="0.25">
      <c r="A20"/>
      <c r="B20"/>
      <c r="C20"/>
      <c r="D20"/>
      <c r="E20"/>
      <c r="F20"/>
      <c r="G20"/>
      <c r="H20"/>
      <c r="I20"/>
      <c r="J20"/>
      <c r="K20"/>
    </row>
    <row r="21" spans="1:11" x14ac:dyDescent="0.25">
      <c r="A21"/>
      <c r="B21"/>
      <c r="C21"/>
      <c r="D21"/>
      <c r="E21"/>
      <c r="F21"/>
      <c r="G21"/>
      <c r="H21"/>
      <c r="I21"/>
      <c r="J21"/>
      <c r="K21"/>
    </row>
    <row r="22" spans="1:11" x14ac:dyDescent="0.25">
      <c r="A22"/>
      <c r="B22"/>
      <c r="C22"/>
      <c r="D22"/>
      <c r="E22"/>
      <c r="F22"/>
      <c r="G22"/>
      <c r="H22"/>
      <c r="I22"/>
      <c r="J22"/>
      <c r="K22"/>
    </row>
    <row r="23" spans="1:11" x14ac:dyDescent="0.25">
      <c r="A23"/>
      <c r="B23"/>
      <c r="C23"/>
      <c r="D23"/>
      <c r="E23"/>
      <c r="F23"/>
      <c r="G23"/>
      <c r="H23"/>
      <c r="I23"/>
      <c r="J23"/>
      <c r="K23"/>
    </row>
    <row r="24" spans="1:11" x14ac:dyDescent="0.25">
      <c r="A24"/>
      <c r="B24"/>
      <c r="C24"/>
      <c r="D24"/>
      <c r="E24"/>
      <c r="F24"/>
      <c r="G24"/>
      <c r="H24"/>
      <c r="I24"/>
      <c r="J24"/>
      <c r="K24"/>
    </row>
    <row r="25" spans="1:11" x14ac:dyDescent="0.25">
      <c r="A25"/>
      <c r="B25"/>
      <c r="C25"/>
      <c r="D25"/>
      <c r="E25"/>
      <c r="F25"/>
      <c r="G25"/>
      <c r="H25"/>
      <c r="I25"/>
      <c r="J25"/>
      <c r="K25"/>
    </row>
    <row r="26" spans="1:11" x14ac:dyDescent="0.25">
      <c r="A26" s="50"/>
      <c r="J26" s="52"/>
    </row>
    <row r="27" spans="1:11" x14ac:dyDescent="0.25">
      <c r="A27" s="50"/>
      <c r="J27" s="52"/>
    </row>
    <row r="28" spans="1:11" x14ac:dyDescent="0.25">
      <c r="A28" s="50"/>
      <c r="J28" s="52"/>
    </row>
    <row r="29" spans="1:11" x14ac:dyDescent="0.25">
      <c r="A29" s="50"/>
      <c r="J29" s="52"/>
    </row>
  </sheetData>
  <mergeCells count="10">
    <mergeCell ref="L1:N2"/>
    <mergeCell ref="A1:K1"/>
    <mergeCell ref="A2:A3"/>
    <mergeCell ref="B2:B3"/>
    <mergeCell ref="C2:C3"/>
    <mergeCell ref="D2:E2"/>
    <mergeCell ref="F2:G2"/>
    <mergeCell ref="I2:I3"/>
    <mergeCell ref="J2:J3"/>
    <mergeCell ref="K2:K3"/>
  </mergeCells>
  <dataValidations count="1">
    <dataValidation type="list" allowBlank="1" showInputMessage="1" showErrorMessage="1" sqref="J26:J29">
      <formula1>"A,B,C"</formula1>
    </dataValidation>
  </dataValidation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opLeftCell="A10" zoomScale="130" zoomScaleNormal="130" workbookViewId="0">
      <selection activeCell="G17" sqref="G17"/>
    </sheetView>
  </sheetViews>
  <sheetFormatPr defaultColWidth="9.140625" defaultRowHeight="15" x14ac:dyDescent="0.25"/>
  <cols>
    <col min="1" max="1" width="19.28515625" style="39" bestFit="1" customWidth="1"/>
    <col min="2" max="2" width="20.7109375" style="39" bestFit="1" customWidth="1"/>
    <col min="3" max="3" width="8.85546875" style="39" customWidth="1"/>
    <col min="4" max="4" width="36.5703125" style="39" customWidth="1"/>
    <col min="5" max="5" width="35" style="39" customWidth="1"/>
    <col min="6" max="16384" width="9.140625" style="39"/>
  </cols>
  <sheetData>
    <row r="1" spans="1:5" ht="60" customHeight="1" x14ac:dyDescent="0.25">
      <c r="A1" s="111" t="s">
        <v>42</v>
      </c>
      <c r="B1" s="111"/>
      <c r="C1" s="36"/>
      <c r="D1" s="37" t="s">
        <v>43</v>
      </c>
      <c r="E1" s="38" t="s">
        <v>44</v>
      </c>
    </row>
    <row r="2" spans="1:5" x14ac:dyDescent="0.25">
      <c r="A2" s="40" t="s">
        <v>45</v>
      </c>
      <c r="B2" s="40" t="s">
        <v>46</v>
      </c>
    </row>
    <row r="3" spans="1:5" ht="15" customHeight="1" x14ac:dyDescent="0.25">
      <c r="A3" s="40" t="s">
        <v>47</v>
      </c>
      <c r="B3" s="40">
        <v>88</v>
      </c>
      <c r="D3" s="136" t="s">
        <v>48</v>
      </c>
      <c r="E3" s="136" t="s">
        <v>49</v>
      </c>
    </row>
    <row r="4" spans="1:5" x14ac:dyDescent="0.25">
      <c r="A4" s="40" t="s">
        <v>50</v>
      </c>
      <c r="B4" s="40">
        <v>75</v>
      </c>
      <c r="D4" s="136"/>
      <c r="E4" s="136"/>
    </row>
    <row r="5" spans="1:5" x14ac:dyDescent="0.25">
      <c r="A5" s="40" t="s">
        <v>51</v>
      </c>
      <c r="B5" s="40">
        <v>66</v>
      </c>
      <c r="D5" s="136"/>
      <c r="E5" s="136"/>
    </row>
    <row r="6" spans="1:5" x14ac:dyDescent="0.25">
      <c r="A6" s="40" t="s">
        <v>52</v>
      </c>
      <c r="B6" s="40">
        <v>59</v>
      </c>
      <c r="D6" s="136"/>
      <c r="E6" s="136"/>
    </row>
    <row r="7" spans="1:5" x14ac:dyDescent="0.25">
      <c r="A7" s="40" t="s">
        <v>53</v>
      </c>
      <c r="B7" s="40">
        <v>52</v>
      </c>
      <c r="D7" s="136"/>
      <c r="E7" s="136"/>
    </row>
    <row r="8" spans="1:5" x14ac:dyDescent="0.25">
      <c r="A8" s="40" t="s">
        <v>54</v>
      </c>
      <c r="B8" s="40">
        <v>45</v>
      </c>
    </row>
    <row r="9" spans="1:5" ht="15" customHeight="1" x14ac:dyDescent="0.25">
      <c r="A9" s="40" t="s">
        <v>55</v>
      </c>
      <c r="B9" s="40">
        <v>40</v>
      </c>
      <c r="D9" s="136" t="s">
        <v>56</v>
      </c>
      <c r="E9" s="136" t="s">
        <v>57</v>
      </c>
    </row>
    <row r="10" spans="1:5" x14ac:dyDescent="0.25">
      <c r="A10" s="40" t="s">
        <v>58</v>
      </c>
      <c r="B10" s="40">
        <v>35</v>
      </c>
      <c r="D10" s="136"/>
      <c r="E10" s="136"/>
    </row>
    <row r="11" spans="1:5" x14ac:dyDescent="0.25">
      <c r="A11" s="40" t="s">
        <v>59</v>
      </c>
      <c r="B11" s="40">
        <v>31</v>
      </c>
      <c r="D11" s="136"/>
      <c r="E11" s="136"/>
    </row>
    <row r="12" spans="1:5" x14ac:dyDescent="0.25">
      <c r="A12" s="40" t="s">
        <v>60</v>
      </c>
      <c r="B12" s="40">
        <v>27</v>
      </c>
      <c r="D12" s="136"/>
      <c r="E12" s="136"/>
    </row>
    <row r="13" spans="1:5" x14ac:dyDescent="0.25">
      <c r="A13" s="40" t="s">
        <v>61</v>
      </c>
      <c r="B13" s="40">
        <v>24</v>
      </c>
    </row>
    <row r="16" spans="1:5" ht="30.75" customHeight="1" x14ac:dyDescent="0.25">
      <c r="A16" s="136" t="s">
        <v>62</v>
      </c>
      <c r="B16" s="136"/>
      <c r="C16" s="136"/>
    </row>
    <row r="17" spans="1:3" ht="45" x14ac:dyDescent="0.25">
      <c r="A17" s="40" t="s">
        <v>63</v>
      </c>
      <c r="B17" s="40" t="s">
        <v>64</v>
      </c>
      <c r="C17" s="40" t="s">
        <v>65</v>
      </c>
    </row>
    <row r="18" spans="1:3" ht="60" x14ac:dyDescent="0.25">
      <c r="A18" s="40" t="s">
        <v>66</v>
      </c>
      <c r="B18" s="40" t="s">
        <v>67</v>
      </c>
      <c r="C18" s="40" t="s">
        <v>68</v>
      </c>
    </row>
  </sheetData>
  <mergeCells count="6">
    <mergeCell ref="A16:C16"/>
    <mergeCell ref="A1:B1"/>
    <mergeCell ref="D3:D7"/>
    <mergeCell ref="E3:E7"/>
    <mergeCell ref="D9:D12"/>
    <mergeCell ref="E9:E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Qtd_minima</vt:lpstr>
      <vt:lpstr>Demanda-Criterios</vt:lpstr>
      <vt:lpstr>Comparações dos Criterios</vt:lpstr>
      <vt:lpstr>Circuitos</vt:lpstr>
      <vt:lpstr>Regras</vt:lpstr>
      <vt:lpstr>Qtd_minima!Titulos_de_impressao</vt:lpstr>
    </vt:vector>
  </TitlesOfParts>
  <Company>Cosern.net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HP</cp:lastModifiedBy>
  <cp:lastPrinted>2014-04-13T19:26:33Z</cp:lastPrinted>
  <dcterms:created xsi:type="dcterms:W3CDTF">2014-03-20T15:42:00Z</dcterms:created>
  <dcterms:modified xsi:type="dcterms:W3CDTF">2015-05-21T22:14:52Z</dcterms:modified>
</cp:coreProperties>
</file>