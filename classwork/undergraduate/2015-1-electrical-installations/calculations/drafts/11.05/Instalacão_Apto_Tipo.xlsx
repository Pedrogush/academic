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6.xml.rels" ContentType="application/vnd.openxmlformats-package.relationship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4" firstSheet="0" showHorizontalScroll="true" showSheetTabs="true" showVerticalScroll="true" tabRatio="600" windowHeight="8192" windowWidth="16384" xWindow="0" yWindow="0"/>
  </bookViews>
  <sheets>
    <sheet name="Dependencias" sheetId="1" state="visible" r:id="rId2"/>
    <sheet name="Qtd_minima" sheetId="2" state="visible" r:id="rId3"/>
    <sheet name="Demanda-Criterios" sheetId="3" state="visible" r:id="rId4"/>
    <sheet name="Comparações dos Criterios" sheetId="4" state="visible" r:id="rId5"/>
    <sheet name="Circuitos" sheetId="5" state="visible" r:id="rId6"/>
    <sheet name="Regras" sheetId="6" state="visible" r:id="rId7"/>
  </sheets>
  <definedNames>
    <definedName function="false" hidden="false" localSheetId="1" name="_xlnm.Print_Titles" vbProcedure="false">Qtd_minima!$1:$3</definedName>
    <definedName function="false" hidden="false" localSheetId="1" name="_xlnm.Print_Titles" vbProcedure="false">Qtd_minima!$1:$3</definedName>
    <definedName function="false" hidden="false" localSheetId="1" name="_xlnm.Print_Titles_0" vbProcedure="false">Qtd_minima!$1:$3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<sst xmlns="http://schemas.openxmlformats.org/spreadsheetml/2006/main" count="361" uniqueCount="162">
  <si>
    <t>DEPENDÊNCIAS DA INSTALAÇÃO</t>
  </si>
  <si>
    <t>Dependência</t>
  </si>
  <si>
    <t>Área (m²)</t>
  </si>
  <si>
    <t>Perímetro (m)</t>
  </si>
  <si>
    <t>Observação</t>
  </si>
  <si>
    <t>Dormitório 1</t>
  </si>
  <si>
    <t>BWC1</t>
  </si>
  <si>
    <t>Vestir</t>
  </si>
  <si>
    <t>Dormitório 2</t>
  </si>
  <si>
    <t>BWC 2</t>
  </si>
  <si>
    <t>Corredor 1</t>
  </si>
  <si>
    <t>Dormitorio 3</t>
  </si>
  <si>
    <t>Dormitório 4</t>
  </si>
  <si>
    <t>BWC3</t>
  </si>
  <si>
    <t>Terraço</t>
  </si>
  <si>
    <t>Jantar</t>
  </si>
  <si>
    <t>Estar</t>
  </si>
  <si>
    <t>WC</t>
  </si>
  <si>
    <t>Elevador 1</t>
  </si>
  <si>
    <t>Elevador 2</t>
  </si>
  <si>
    <t>Hall 1</t>
  </si>
  <si>
    <t>Hall 2</t>
  </si>
  <si>
    <t>Escada</t>
  </si>
  <si>
    <t>Cozinha</t>
  </si>
  <si>
    <t>Despensa</t>
  </si>
  <si>
    <t>Serviços</t>
  </si>
  <si>
    <t>Deposito</t>
  </si>
  <si>
    <t>BWC 4</t>
  </si>
  <si>
    <t>Corredor 2</t>
  </si>
  <si>
    <t>Dependencia</t>
  </si>
  <si>
    <t>Total</t>
  </si>
  <si>
    <t>INSTALAÇÃO MÍNIMA</t>
  </si>
  <si>
    <t>Dependencias</t>
  </si>
  <si>
    <t>Dimensões</t>
  </si>
  <si>
    <t>Iluminação</t>
  </si>
  <si>
    <t>TUGs</t>
  </si>
  <si>
    <t>TUEs</t>
  </si>
  <si>
    <t>Área (m2)</t>
  </si>
  <si>
    <t>Qtd.</t>
  </si>
  <si>
    <t>Potência (VA)</t>
  </si>
  <si>
    <t>Potência(VA)</t>
  </si>
  <si>
    <t>Potência(W)</t>
  </si>
  <si>
    <t>Ar Condicionado</t>
  </si>
  <si>
    <t>Chuveiro Elétrico</t>
  </si>
  <si>
    <t>-</t>
  </si>
  <si>
    <t>Microondas</t>
  </si>
  <si>
    <t>Lavadora de Pratos</t>
  </si>
  <si>
    <t>Exaustor</t>
  </si>
  <si>
    <t>Lavadora de Roupas</t>
  </si>
  <si>
    <t>Secadora de Roupas</t>
  </si>
  <si>
    <t>Método COBEI</t>
  </si>
  <si>
    <t>Método IEC</t>
  </si>
  <si>
    <t>Descrição</t>
  </si>
  <si>
    <t>Potência Instalada</t>
  </si>
  <si>
    <t>Fp</t>
  </si>
  <si>
    <t>Potencia (W)</t>
  </si>
  <si>
    <t>Potência (W)</t>
  </si>
  <si>
    <t>Fator Demanda</t>
  </si>
  <si>
    <t>Demanda</t>
  </si>
  <si>
    <t>Observações</t>
  </si>
  <si>
    <t>Ilum</t>
  </si>
  <si>
    <t>TUG</t>
  </si>
  <si>
    <t>*</t>
  </si>
  <si>
    <t>(0,2* 5A * 200 V * 57 * 0,8)</t>
  </si>
  <si>
    <t>57 é a quantidade de tomadas</t>
  </si>
  <si>
    <t>TUE</t>
  </si>
  <si>
    <t>Aparelho de Cozinha</t>
  </si>
  <si>
    <t>Como é apenas 1 aparelho FD = 1</t>
  </si>
  <si>
    <t>Fator de demanda (g)</t>
  </si>
  <si>
    <t>Aquecimento de Água</t>
  </si>
  <si>
    <t>Aparelhos Eletrodoméstico Fixos ou Estacionários</t>
  </si>
  <si>
    <t>Demanda (D=(Pilum + Ptug)*g + Ptue)</t>
  </si>
  <si>
    <t>Aparelhos Ar Condicionado</t>
  </si>
  <si>
    <t>Demanda Total (W)</t>
  </si>
  <si>
    <t>Método NEC</t>
  </si>
  <si>
    <t>Área</t>
  </si>
  <si>
    <t>Densidade Potência (W/m2)</t>
  </si>
  <si>
    <t>Demanda Máxima (W)</t>
  </si>
  <si>
    <t>Área de Serviço</t>
  </si>
  <si>
    <t>P(ilum+tug) (W)</t>
  </si>
  <si>
    <t>Fornos, Fogões, Secadoras de Roupa, Aquecedores de Ambiente, Ar-condicionado</t>
  </si>
  <si>
    <t>Total (W)</t>
  </si>
  <si>
    <t>Outros aparelhos fixos e estacionários</t>
  </si>
  <si>
    <t>Quantidade</t>
  </si>
  <si>
    <t>Potência</t>
  </si>
  <si>
    <t>Chuveiros</t>
  </si>
  <si>
    <t>Secadora de Roupa</t>
  </si>
  <si>
    <t>Lavad. Roupa</t>
  </si>
  <si>
    <t>Lavad. Prato</t>
  </si>
  <si>
    <t>Demanda Total(W):</t>
  </si>
  <si>
    <t>Métodos</t>
  </si>
  <si>
    <t>Potência Instalada (W)</t>
  </si>
  <si>
    <t>COBEI</t>
  </si>
  <si>
    <t>IEC</t>
  </si>
  <si>
    <t>Método escolhido, com menor demanda</t>
  </si>
  <si>
    <t>NEC</t>
  </si>
  <si>
    <t>Cálculo da Corrente (A)</t>
  </si>
  <si>
    <t>Ib</t>
  </si>
  <si>
    <t>CIRCUITOS DA INSTALAÇÃO</t>
  </si>
  <si>
    <t>Nº do Circuito</t>
  </si>
  <si>
    <t>Secção</t>
  </si>
  <si>
    <t>Corrente Nominal (A)</t>
  </si>
  <si>
    <t>Pontos de Luz</t>
  </si>
  <si>
    <t>Proteção</t>
  </si>
  <si>
    <t>Fase</t>
  </si>
  <si>
    <t>Quant</t>
  </si>
  <si>
    <t>P (W)</t>
  </si>
  <si>
    <t>B</t>
  </si>
  <si>
    <r>
      <t xml:space="preserve">Ilum</t>
    </r>
    <r>
      <rPr>
        <sz val="11"/>
        <color rgb="FF000000"/>
        <rFont val="Calibri"/>
        <family val="2"/>
        <charset val="1"/>
      </rPr>
      <t xml:space="preserve"> (Quartos, BWC123,Vestir, Estar, Terraço, Corredor1)</t>
    </r>
  </si>
  <si>
    <t>C</t>
  </si>
  <si>
    <r>
      <t xml:space="preserve">Ilum</t>
    </r>
    <r>
      <rPr>
        <sz val="11"/>
        <color rgb="FF000000"/>
        <rFont val="Calibri"/>
        <family val="2"/>
        <charset val="1"/>
      </rPr>
      <t xml:space="preserve"> (Jantar, Cozinha, BW, Serviços,Hall12,Dependencia, BWC, Deposito, Despensa, Corredor2)</t>
    </r>
  </si>
  <si>
    <r>
      <t xml:space="preserve">TUG </t>
    </r>
    <r>
      <rPr>
        <sz val="11"/>
        <color rgb="FF000000"/>
        <rFont val="Calibri"/>
        <family val="2"/>
        <charset val="1"/>
      </rPr>
      <t xml:space="preserve">(Quarto12, BWC12, Vestir, Corredor1)</t>
    </r>
  </si>
  <si>
    <r>
      <t xml:space="preserve">TUG</t>
    </r>
    <r>
      <rPr>
        <sz val="11"/>
        <color rgb="FF000000"/>
        <rFont val="Calibri"/>
        <family val="2"/>
        <charset val="1"/>
      </rPr>
      <t xml:space="preserve"> (Quarto34, BWC3)</t>
    </r>
  </si>
  <si>
    <r>
      <t xml:space="preserve">TUG</t>
    </r>
    <r>
      <rPr>
        <sz val="11"/>
        <color rgb="FF000000"/>
        <rFont val="Calibri"/>
        <family val="2"/>
        <charset val="1"/>
      </rPr>
      <t xml:space="preserve"> (Terraço, Estar, Hall2)</t>
    </r>
  </si>
  <si>
    <r>
      <t xml:space="preserve">TUG</t>
    </r>
    <r>
      <rPr>
        <sz val="11"/>
        <color rgb="FF000000"/>
        <rFont val="Calibri"/>
        <family val="2"/>
        <charset val="1"/>
      </rPr>
      <t xml:space="preserve"> (Jantar, WC,Despensa)</t>
    </r>
  </si>
  <si>
    <t>A</t>
  </si>
  <si>
    <r>
      <t xml:space="preserve">TUG</t>
    </r>
    <r>
      <rPr>
        <sz val="11"/>
        <color rgb="FF000000"/>
        <rFont val="Calibri"/>
        <family val="2"/>
        <charset val="1"/>
      </rPr>
      <t xml:space="preserve"> (Serviços, Deposito, Corredor2, BWC4, Dependencia, Hall1)</t>
    </r>
  </si>
  <si>
    <r>
      <t xml:space="preserve">TUG</t>
    </r>
    <r>
      <rPr>
        <sz val="11"/>
        <color rgb="FF000000"/>
        <rFont val="Calibri"/>
        <family val="2"/>
        <charset val="1"/>
      </rPr>
      <t xml:space="preserve"> (Cozinha)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</si>
  <si>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(Ar condicionado - Quarto1)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</si>
  <si>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(Chuveiro - BWC1)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</si>
  <si>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(Ar condicionado - Quarto2)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</si>
  <si>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(Chuveiro - BWC2)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</si>
  <si>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(Ar condicionado - Quarto3)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</si>
  <si>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(Ar condicionado - Quarto4)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</si>
  <si>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(Chuveiro - BWC3)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</si>
  <si>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(Microondas, Exaustor, Lavadorade Roupas)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</si>
  <si>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(Lavadora de Pratos)</t>
    </r>
  </si>
  <si>
    <r>
      <t xml:space="preserve">TUE</t>
    </r>
    <r>
      <rPr>
        <sz val="11"/>
        <color rgb="FF000000"/>
        <rFont val="Calibri"/>
        <family val="2"/>
        <charset val="1"/>
      </rPr>
      <t xml:space="preserve"> ( Secadora de Roupas)</t>
    </r>
  </si>
  <si>
    <t>Reserva1</t>
  </si>
  <si>
    <t>Reserva2</t>
  </si>
  <si>
    <t>Reserva3</t>
  </si>
  <si>
    <t>Totais</t>
  </si>
  <si>
    <t>13.880W</t>
  </si>
  <si>
    <t>13.860W</t>
  </si>
  <si>
    <t>13.900W</t>
  </si>
  <si>
    <r>
      <t xml:space="preserve">Fatores de demanda para iluminação e tomadas de uso geral em unidades residenciais e acomodações de hotéis, motéis, similares.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FF0000"/>
        <rFont val="Calibri"/>
        <family val="2"/>
        <charset val="1"/>
      </rPr>
      <t xml:space="preserve">COBEI.</t>
    </r>
    <r>
      <rPr>
        <b val="true"/>
        <sz val="11"/>
        <rFont val="Calibri"/>
        <family val="2"/>
        <charset val="1"/>
      </rPr>
      <t xml:space="preserve"> p.163 4ed Cotrim</t>
    </r>
  </si>
  <si>
    <r>
      <t xml:space="preserve">Fatores de demanda para iluminação e tomadas de uso geral em prédios de apartamentos e conjuntos residenciais.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p.164 4ed Cotrim </t>
    </r>
  </si>
  <si>
    <r>
      <t xml:space="preserve">Fatores de demanda para equipamento de hidromassagem de uso residencial.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p.164 4ed Cotrim.</t>
    </r>
  </si>
  <si>
    <t>Potência - P(kW)</t>
  </si>
  <si>
    <t>Fator de demanda (%)</t>
  </si>
  <si>
    <t>0 &lt; P ≤ 1</t>
  </si>
  <si>
    <r>
      <t xml:space="preserve">Fatores de demanda para aparelhos de ar-condicionado (tipo janela ou centrais individuais) de uso residencial, aplicáveis a prédios de apartamentos.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p164 4ed Cotrim.</t>
    </r>
  </si>
  <si>
    <r>
      <t xml:space="preserve">Fatores de demanda para aparelhos de ar-condicionado (tipo janela ou centrais individuais) aplicáveis a prédios comerciais.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p165 4ed Cotrim.</t>
    </r>
  </si>
  <si>
    <t>1 &lt; P ≤ 2</t>
  </si>
  <si>
    <t>2 &lt; P ≤ 3</t>
  </si>
  <si>
    <t>3 &lt; P ≤ 4</t>
  </si>
  <si>
    <t>4 &lt; P ≤ 5</t>
  </si>
  <si>
    <t>5 &lt; P ≤ 6</t>
  </si>
  <si>
    <t>6 &lt; P ≤ 7</t>
  </si>
  <si>
    <r>
      <t xml:space="preserve">Fatores de demanda de alguns equipamentos de uso residencial.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p165 4ed Cotrim. </t>
    </r>
  </si>
  <si>
    <r>
      <t xml:space="preserve">Fatores de demanda para unidades residenciais e acomodações de hotéis, motéis e similares. </t>
    </r>
    <r>
      <rPr>
        <b val="true"/>
        <sz val="11"/>
        <color rgb="FFFF0000"/>
        <rFont val="Calibri"/>
        <family val="2"/>
        <charset val="1"/>
      </rPr>
      <t xml:space="preserve">IEC 64</t>
    </r>
    <r>
      <rPr>
        <b val="true"/>
        <sz val="11"/>
        <color rgb="FF000000"/>
        <rFont val="Calibri"/>
        <family val="2"/>
        <charset val="1"/>
      </rPr>
      <t xml:space="preserve">. p166 4ed Cotrim.</t>
    </r>
  </si>
  <si>
    <t>7 &lt; P ≤ 8</t>
  </si>
  <si>
    <t>8 &lt; P ≤ 9</t>
  </si>
  <si>
    <t>9 &lt; P ≤ 10</t>
  </si>
  <si>
    <t>Acima de 10</t>
  </si>
  <si>
    <r>
      <t xml:space="preserve">De acordo com a </t>
    </r>
    <r>
      <rPr>
        <b val="true"/>
        <sz val="11"/>
        <color rgb="FFFF0000"/>
        <rFont val="Calibri"/>
        <family val="2"/>
        <charset val="1"/>
      </rPr>
      <t xml:space="preserve">CESP</t>
    </r>
    <r>
      <rPr>
        <b val="true"/>
        <sz val="11"/>
        <rFont val="Calibri"/>
        <family val="2"/>
        <charset val="1"/>
      </rPr>
      <t xml:space="preserve">, fator de demanda global Residencial - p.163 4ed Cotrim</t>
    </r>
  </si>
  <si>
    <t>Administração de prédios de departamentos</t>
  </si>
  <si>
    <t>Até 100Kw
Acima de 100kW</t>
  </si>
  <si>
    <t>0,35
0,13</t>
  </si>
  <si>
    <t>Residencial (Residência. Colônia residencial, núcleo residencial).</t>
  </si>
  <si>
    <t>Até 200Kw
Acima de 200kW</t>
  </si>
  <si>
    <t>0,39
0,20</t>
  </si>
</sst>
</file>

<file path=xl/styles.xml><?xml version="1.0" encoding="utf-8"?>
<styleSheet xmlns="http://schemas.openxmlformats.org/spreadsheetml/2006/main">
  <numFmts count="4">
    <numFmt formatCode="GENERAL" numFmtId="164"/>
    <numFmt formatCode="0.000" numFmtId="165"/>
    <numFmt formatCode="0.00" numFmtId="166"/>
    <numFmt formatCode="0.0" numFmtId="167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6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AC090"/>
        <bgColor rgb="FFFF99CC"/>
      </patternFill>
    </fill>
    <fill>
      <patternFill patternType="solid">
        <fgColor rgb="FFF2F2F2"/>
        <bgColor rgb="FFFFFFFF"/>
      </patternFill>
    </fill>
    <fill>
      <patternFill patternType="solid">
        <fgColor rgb="FFFF7C80"/>
        <bgColor rgb="FFFF99CC"/>
      </patternFill>
    </fill>
  </fills>
  <borders count="21">
    <border diagonalDown="false" diagonalUp="false">
      <left/>
      <right/>
      <top/>
      <bottom/>
      <diagonal/>
    </border>
    <border diagonalDown="false" diagonalUp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  <border diagonalDown="false" diagonalUp="false">
      <left style="thin"/>
      <right/>
      <top style="thin"/>
      <bottom style="thin"/>
      <diagonal/>
    </border>
    <border diagonalDown="false" diagonalUp="false">
      <left/>
      <right style="thin"/>
      <top style="thin"/>
      <bottom style="thin"/>
      <diagonal/>
    </border>
    <border diagonalDown="false" diagonalUp="false">
      <left style="thin"/>
      <right style="thin"/>
      <top/>
      <bottom style="thin"/>
      <diagonal/>
    </border>
    <border diagonalDown="false" diagonalUp="false">
      <left/>
      <right style="thin"/>
      <top style="thin"/>
      <bottom/>
      <diagonal/>
    </border>
    <border diagonalDown="false" diagonalUp="false">
      <left/>
      <right/>
      <top style="thin"/>
      <bottom style="thin"/>
      <diagonal/>
    </border>
    <border diagonalDown="false" diagonalUp="false">
      <left/>
      <right style="thin"/>
      <top/>
      <bottom style="thin"/>
      <diagonal/>
    </border>
    <border diagonalDown="false" diagonalUp="false">
      <left style="thin"/>
      <right style="thin"/>
      <top/>
      <bottom/>
      <diagonal/>
    </border>
    <border diagonalDown="false" diagonalUp="false">
      <left style="medium"/>
      <right style="thin"/>
      <top style="medium"/>
      <bottom style="thin"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/>
      <right/>
      <top style="medium"/>
      <bottom/>
      <diagonal/>
    </border>
    <border diagonalDown="false" diagonalUp="false">
      <left style="medium"/>
      <right style="thin"/>
      <top style="thin"/>
      <bottom style="thin"/>
      <diagonal/>
    </border>
    <border diagonalDown="false" diagonalUp="false">
      <left style="thin"/>
      <right style="medium"/>
      <top/>
      <bottom style="thin"/>
      <diagonal/>
    </border>
    <border diagonalDown="false" diagonalUp="false">
      <left style="thin"/>
      <right style="medium"/>
      <top style="thin"/>
      <bottom style="thin"/>
      <diagonal/>
    </border>
    <border diagonalDown="false" diagonalUp="false">
      <left style="medium"/>
      <right style="thin"/>
      <top style="thin"/>
      <bottom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/>
      <right style="thin"/>
      <top style="thin"/>
      <bottom style="medium"/>
      <diagonal/>
    </border>
    <border diagonalDown="false" diagonalUp="false">
      <left style="thin"/>
      <right style="thin"/>
      <top style="thin"/>
      <bottom style="medium"/>
      <diagonal/>
    </border>
  </borders>
  <cellStyleXfs count="21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1" fillId="2" fontId="0" numFmtId="164">
      <alignment horizontal="general" indent="0" shrinkToFit="false" textRotation="0" vertical="bottom" wrapText="false"/>
      <protection hidden="false" locked="true"/>
    </xf>
  </cellStyleXfs>
  <cellXfs count="102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3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4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4" fontId="5" numFmtId="164" xfId="0">
      <alignment horizontal="center" indent="0" shrinkToFit="false" textRotation="0" vertical="center" wrapText="false"/>
      <protection hidden="false" locked="true"/>
    </xf>
    <xf applyAlignment="true" applyBorder="false" applyFont="true" applyProtection="true" borderId="1" fillId="2" fontId="0" numFmtId="164" xfId="20">
      <alignment horizontal="general" indent="0" shrinkToFit="false" textRotation="0" vertical="bottom" wrapText="true"/>
      <protection hidden="false" locked="true"/>
    </xf>
    <xf applyAlignment="true" applyBorder="false" applyFont="true" applyProtection="true" borderId="1" fillId="2" fontId="0" numFmtId="165" xfId="20">
      <alignment horizontal="general" indent="0" shrinkToFit="false" textRotation="0" vertical="bottom" wrapText="true"/>
      <protection hidden="false" locked="true"/>
    </xf>
    <xf applyAlignment="true" applyBorder="false" applyFont="true" applyProtection="true" borderId="1" fillId="2" fontId="0" numFmtId="166" xfId="20">
      <alignment horizontal="general" indent="0" shrinkToFit="false" textRotation="0" vertical="bottom" wrapText="true"/>
      <protection hidden="false" locked="true"/>
    </xf>
    <xf applyAlignment="true" applyBorder="false" applyFont="true" applyProtection="true" borderId="1" fillId="2" fontId="6" numFmtId="164" xfId="20">
      <alignment horizontal="general" indent="0" shrinkToFit="false" textRotation="0" vertical="center" wrapText="true"/>
      <protection hidden="false" locked="true"/>
    </xf>
    <xf applyAlignment="true" applyBorder="false" applyFont="true" applyProtection="true" borderId="1" fillId="2" fontId="0" numFmtId="164" xfId="20">
      <alignment horizontal="general" indent="0" shrinkToFit="false" textRotation="0" vertical="center" wrapText="true"/>
      <protection hidden="false" locked="true"/>
    </xf>
    <xf applyAlignment="true" applyBorder="false" applyFont="true" applyProtection="true" borderId="1" fillId="2" fontId="7" numFmtId="164" xfId="20">
      <alignment horizontal="general" indent="0" shrinkToFit="false" textRotation="0" vertical="bottom" wrapText="true"/>
      <protection hidden="false" locked="true"/>
    </xf>
    <xf applyAlignment="false" applyBorder="false" applyFont="fals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4" fontId="8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4" fontId="5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4" fillId="4" fontId="5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2" fillId="2" fontId="0" numFmtId="164" xfId="2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2" fillId="2" fontId="0" numFmtId="165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2" fillId="2" fontId="0" numFmtId="166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2" fillId="2" fontId="0" numFmtId="164" xfId="20">
      <alignment horizontal="center" indent="0" shrinkToFit="false" textRotation="0" vertical="bottom" wrapText="true"/>
      <protection hidden="false" locked="true"/>
    </xf>
    <xf applyAlignment="true" applyBorder="true" applyFont="false" applyProtection="false" borderId="5" fillId="2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2" fillId="2" fontId="0" numFmtId="164" xfId="0">
      <alignment horizontal="center" indent="0" shrinkToFit="false" textRotation="0" vertical="center" wrapText="false"/>
      <protection hidden="false" locked="true"/>
    </xf>
    <xf applyAlignment="false" applyBorder="true" applyFont="true" applyProtection="false" borderId="2" fillId="2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2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5" fillId="2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2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2" fillId="2" fontId="6" numFmtId="164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5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4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4" xfId="20">
      <alignment horizontal="left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6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2" fillId="2" fontId="0" numFmtId="164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3" fillId="2" fontId="0" numFmtId="164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6" fillId="2" fontId="0" numFmtId="164" xfId="20">
      <alignment horizontal="center" indent="0" shrinkToFit="false" textRotation="0" vertical="center" wrapText="true"/>
      <protection hidden="false" locked="true"/>
    </xf>
    <xf applyAlignment="true" applyBorder="true" applyFont="true" applyProtection="true" borderId="3" fillId="2" fontId="0" numFmtId="164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3" fillId="2" fontId="0" numFmtId="164" xfId="2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7" fillId="2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2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2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4" fillId="2" fontId="0" numFmtId="164" xfId="20">
      <alignment horizontal="general" indent="0" shrinkToFit="false" textRotation="0" vertical="center" wrapText="true"/>
      <protection hidden="false" locked="true"/>
    </xf>
    <xf applyAlignment="true" applyBorder="true" applyFont="true" applyProtection="true" borderId="8" fillId="2" fontId="0" numFmtId="164" xfId="2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8" fillId="2" fontId="0" numFmtId="164" xfId="20">
      <alignment horizontal="center" indent="0" shrinkToFit="false" textRotation="0" vertical="bottom" wrapText="true"/>
      <protection hidden="false" locked="true"/>
    </xf>
    <xf applyAlignment="true" applyBorder="true" applyFont="false" applyProtection="false" borderId="8" fillId="2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5" fillId="2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6" fillId="2" fontId="7" numFmtId="164" xfId="2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6" fillId="2" fontId="7" numFmtId="165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6" fillId="2" fontId="7" numFmtId="166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6" fillId="2" fontId="7" numFmtId="164" xfId="2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9" fillId="2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2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2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3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2" fillId="3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2" fillId="3" fontId="0" numFmtId="167" xfId="0">
      <alignment horizontal="center" indent="0" shrinkToFit="false" textRotation="0" vertical="center" wrapText="false"/>
      <protection hidden="false" locked="true"/>
    </xf>
    <xf applyAlignment="true" applyBorder="false" applyFont="true" applyProtection="false" borderId="0" fillId="0" fontId="9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5" fillId="3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3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3" fillId="3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3" fontId="7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2" fillId="3" fontId="0" numFmtId="166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0" fillId="0" fontId="0" numFmtId="167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0" fontId="10" numFmtId="166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6" fillId="0" fontId="0" numFmtId="167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1" fillId="0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2" fillId="3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3" fillId="0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4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5" fillId="0" fontId="7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6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5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7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3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8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9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2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0" numFmtId="166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4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4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6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9" numFmtId="164" xfId="0">
      <alignment horizontal="center" indent="0" shrinkToFit="false" textRotation="0" vertical="bottom" wrapText="false"/>
      <protection hidden="false" locked="true"/>
    </xf>
    <xf applyAlignment="true" applyBorder="true" applyFont="false" applyProtection="false" borderId="2" fillId="0" fontId="0" numFmtId="167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6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4" fontId="11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4" fontId="5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6" numFmtId="164" xfId="0">
      <alignment horizontal="center" indent="0" shrinkToFit="false" textRotation="0" vertical="center" wrapText="true"/>
      <protection hidden="false" locked="tru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12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2" fillId="0" fontId="7" numFmtId="164" xfId="0">
      <alignment horizontal="center" indent="0" shrinkToFit="false" textRotation="0" vertical="center" wrapText="true"/>
      <protection hidden="false" locked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2" fillId="0" fontId="0" numFmtId="164" xfId="0">
      <alignment horizontal="center" indent="0" shrinkToFit="false" textRotation="0" vertical="center" wrapText="true"/>
      <protection hidden="false" locked="true"/>
    </xf>
  </cellXfs>
  <cellStyles count="7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Excel Built-in 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F2F2F2"/>
      <rgbColor rgb="FF660066"/>
      <rgbColor rgb="FFFF7C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3</xdr:col>
      <xdr:colOff>175320</xdr:colOff>
      <xdr:row>12</xdr:row>
      <xdr:rowOff>165240</xdr:rowOff>
    </xdr:from>
    <xdr:to>
      <xdr:col>4</xdr:col>
      <xdr:colOff>2052000</xdr:colOff>
      <xdr:row>17</xdr:row>
      <xdr:rowOff>517680</xdr:rowOff>
    </xdr:to>
    <xdr:pic>
      <xdr:nvPicPr>
        <xdr:cNvPr descr="" id="0" name="Imagem 1"/>
        <xdr:cNvPicPr/>
      </xdr:nvPicPr>
      <xdr:blipFill>
        <a:blip r:embed="rId1"/>
        <a:stretch>
          <a:fillRect/>
        </a:stretch>
      </xdr:blipFill>
      <xdr:spPr>
        <a:xfrm>
          <a:off x="3623760" y="2936880"/>
          <a:ext cx="4461120" cy="18288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134640</xdr:colOff>
      <xdr:row>18</xdr:row>
      <xdr:rowOff>100800</xdr:rowOff>
    </xdr:from>
    <xdr:to>
      <xdr:col>4</xdr:col>
      <xdr:colOff>550080</xdr:colOff>
      <xdr:row>36</xdr:row>
      <xdr:rowOff>162720</xdr:rowOff>
    </xdr:to>
    <xdr:pic>
      <xdr:nvPicPr>
        <xdr:cNvPr descr="" id="1" name="Imagem 2"/>
        <xdr:cNvPicPr/>
      </xdr:nvPicPr>
      <xdr:blipFill>
        <a:blip r:embed="rId2"/>
        <a:stretch>
          <a:fillRect/>
        </a:stretch>
      </xdr:blipFill>
      <xdr:spPr>
        <a:xfrm>
          <a:off x="134640" y="5072760"/>
          <a:ext cx="6448320" cy="33195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Left" state="frozen" topLeftCell="A3" xSplit="0" ySplit="2"/>
      <selection activeCell="A1" activeCellId="0" pane="topLeft" sqref="A1"/>
      <selection activeCell="F11" activeCellId="0" pane="bottomLeft" sqref="F11"/>
    </sheetView>
  </sheetViews>
  <sheetFormatPr defaultRowHeight="14.25"/>
  <cols>
    <col collapsed="false" hidden="false" max="1" min="1" style="0" width="16.8724489795918"/>
    <col collapsed="false" hidden="false" max="2" min="2" style="0" width="9.37755102040816"/>
    <col collapsed="false" hidden="false" max="3" min="3" style="0" width="13.75"/>
    <col collapsed="false" hidden="false" max="4" min="4" style="0" width="30.75"/>
    <col collapsed="false" hidden="false" max="1025" min="5" style="1" width="9.12755102040816"/>
  </cols>
  <sheetData>
    <row collapsed="false" customFormat="false" customHeight="true" hidden="false" ht="36" outlineLevel="0" r="1">
      <c r="A1" s="2" t="s">
        <v>0</v>
      </c>
      <c r="B1" s="2"/>
      <c r="C1" s="2"/>
      <c r="D1" s="2"/>
    </row>
    <row collapsed="false" customFormat="false" customHeight="false" hidden="false" ht="15" outlineLevel="0" r="2">
      <c r="A2" s="3" t="s">
        <v>1</v>
      </c>
      <c r="B2" s="3" t="s">
        <v>2</v>
      </c>
      <c r="C2" s="3" t="s">
        <v>3</v>
      </c>
      <c r="D2" s="3" t="s">
        <v>4</v>
      </c>
    </row>
    <row collapsed="false" customFormat="false" customHeight="false" hidden="false" ht="14.25" outlineLevel="0" r="3">
      <c r="A3" s="4" t="s">
        <v>5</v>
      </c>
      <c r="B3" s="5" t="n">
        <v>11.7128</v>
      </c>
      <c r="C3" s="6" t="n">
        <v>14.038</v>
      </c>
      <c r="D3" s="4"/>
    </row>
    <row collapsed="false" customFormat="false" customHeight="false" hidden="false" ht="14.25" outlineLevel="0" r="4">
      <c r="A4" s="4" t="s">
        <v>6</v>
      </c>
      <c r="B4" s="5" t="n">
        <v>3.99</v>
      </c>
      <c r="C4" s="4" t="n">
        <v>8.32</v>
      </c>
      <c r="D4" s="4"/>
    </row>
    <row collapsed="false" customFormat="false" customHeight="false" hidden="false" ht="14.25" outlineLevel="0" r="5">
      <c r="A5" s="4" t="s">
        <v>7</v>
      </c>
      <c r="B5" s="5" t="n">
        <v>5.719</v>
      </c>
      <c r="C5" s="4" t="n">
        <v>9.62</v>
      </c>
      <c r="D5" s="4"/>
    </row>
    <row collapsed="false" customFormat="false" customHeight="false" hidden="false" ht="14.25" outlineLevel="0" r="6">
      <c r="A6" s="4" t="s">
        <v>8</v>
      </c>
      <c r="B6" s="5" t="n">
        <v>9.4287</v>
      </c>
      <c r="C6" s="6" t="n">
        <v>12.8493</v>
      </c>
      <c r="D6" s="4"/>
    </row>
    <row collapsed="false" customFormat="false" customHeight="false" hidden="false" ht="14.25" outlineLevel="0" r="7">
      <c r="A7" s="4" t="s">
        <v>9</v>
      </c>
      <c r="B7" s="5" t="n">
        <v>3.705</v>
      </c>
      <c r="C7" s="6" t="n">
        <v>7.7</v>
      </c>
      <c r="D7" s="4"/>
    </row>
    <row collapsed="false" customFormat="false" customHeight="false" hidden="false" ht="14.25" outlineLevel="0" r="8">
      <c r="A8" s="4" t="s">
        <v>10</v>
      </c>
      <c r="B8" s="5" t="n">
        <v>3.4125</v>
      </c>
      <c r="C8" s="6" t="n">
        <v>7.4</v>
      </c>
      <c r="D8" s="4"/>
    </row>
    <row collapsed="false" customFormat="false" customHeight="false" hidden="false" ht="14.25" outlineLevel="0" r="9">
      <c r="A9" s="4" t="s">
        <v>11</v>
      </c>
      <c r="B9" s="5" t="n">
        <v>9.572</v>
      </c>
      <c r="C9" s="6" t="n">
        <v>12.8766</v>
      </c>
      <c r="D9" s="4"/>
    </row>
    <row collapsed="false" customFormat="false" customHeight="false" hidden="false" ht="14.25" outlineLevel="0" r="10">
      <c r="A10" s="4" t="s">
        <v>12</v>
      </c>
      <c r="B10" s="5" t="n">
        <v>8.932</v>
      </c>
      <c r="C10" s="4" t="n">
        <v>11.96</v>
      </c>
      <c r="D10" s="4"/>
    </row>
    <row collapsed="false" customFormat="false" customHeight="false" hidden="false" ht="14.25" outlineLevel="0" r="11">
      <c r="A11" s="4" t="s">
        <v>13</v>
      </c>
      <c r="B11" s="5" t="n">
        <v>5.9444</v>
      </c>
      <c r="C11" s="4" t="n">
        <v>10.02</v>
      </c>
      <c r="D11" s="4"/>
    </row>
    <row collapsed="false" customFormat="false" customHeight="false" hidden="false" ht="14.25" outlineLevel="0" r="12">
      <c r="A12" s="7" t="s">
        <v>14</v>
      </c>
      <c r="B12" s="5" t="n">
        <v>14.4899</v>
      </c>
      <c r="C12" s="4" t="n">
        <v>17.44</v>
      </c>
      <c r="D12" s="4"/>
    </row>
    <row collapsed="false" customFormat="false" customHeight="false" hidden="false" ht="14.25" outlineLevel="0" r="13">
      <c r="A13" s="8" t="s">
        <v>15</v>
      </c>
      <c r="B13" s="5" t="n">
        <v>31.0753</v>
      </c>
      <c r="C13" s="6" t="n">
        <v>29.8</v>
      </c>
      <c r="D13" s="4"/>
    </row>
    <row collapsed="false" customFormat="false" customHeight="false" hidden="false" ht="14.25" outlineLevel="0" r="14">
      <c r="A14" s="7" t="s">
        <v>16</v>
      </c>
      <c r="B14" s="5" t="n">
        <v>17.6203</v>
      </c>
      <c r="C14" s="6" t="n">
        <v>16.9199</v>
      </c>
      <c r="D14" s="4"/>
    </row>
    <row collapsed="false" customFormat="false" customHeight="false" hidden="false" ht="14.25" outlineLevel="0" r="15">
      <c r="A15" s="8" t="s">
        <v>17</v>
      </c>
      <c r="B15" s="5" t="n">
        <v>1.711</v>
      </c>
      <c r="C15" s="4" t="n">
        <v>6.34</v>
      </c>
      <c r="D15" s="4"/>
    </row>
    <row collapsed="false" customFormat="false" customHeight="false" hidden="false" ht="14.25" outlineLevel="0" r="16">
      <c r="A16" s="8" t="s">
        <v>18</v>
      </c>
      <c r="B16" s="5" t="n">
        <v>2.25</v>
      </c>
      <c r="C16" s="6" t="n">
        <v>6</v>
      </c>
      <c r="D16" s="4"/>
    </row>
    <row collapsed="false" customFormat="false" customHeight="false" hidden="false" ht="14.25" outlineLevel="0" r="17">
      <c r="A17" s="7" t="s">
        <v>19</v>
      </c>
      <c r="B17" s="5" t="n">
        <v>2.43</v>
      </c>
      <c r="C17" s="4" t="n">
        <v>6.24</v>
      </c>
      <c r="D17" s="4"/>
    </row>
    <row collapsed="false" customFormat="false" customHeight="false" hidden="false" ht="14.25" outlineLevel="0" r="18">
      <c r="A18" s="8" t="s">
        <v>20</v>
      </c>
      <c r="B18" s="5" t="n">
        <v>3.43</v>
      </c>
      <c r="C18" s="6" t="n">
        <v>7.7</v>
      </c>
      <c r="D18" s="4"/>
    </row>
    <row collapsed="false" customFormat="false" customHeight="false" hidden="false" ht="14.25" outlineLevel="0" r="19">
      <c r="A19" s="7" t="s">
        <v>21</v>
      </c>
      <c r="B19" s="5" t="n">
        <v>3.4485</v>
      </c>
      <c r="C19" s="6" t="n">
        <v>8.1</v>
      </c>
      <c r="D19" s="4"/>
    </row>
    <row collapsed="false" customFormat="false" customHeight="false" hidden="false" ht="14.25" outlineLevel="0" r="20">
      <c r="A20" s="8" t="s">
        <v>22</v>
      </c>
      <c r="B20" s="5" t="n">
        <v>10.554</v>
      </c>
      <c r="C20" s="4" t="n">
        <v>14.16</v>
      </c>
      <c r="D20" s="4"/>
    </row>
    <row collapsed="false" customFormat="false" customHeight="false" hidden="false" ht="14.25" outlineLevel="0" r="21">
      <c r="A21" s="8" t="s">
        <v>23</v>
      </c>
      <c r="B21" s="5" t="n">
        <v>13.0009</v>
      </c>
      <c r="C21" s="6" t="n">
        <v>15.5829</v>
      </c>
      <c r="D21" s="4"/>
    </row>
    <row collapsed="false" customFormat="false" customHeight="false" hidden="false" ht="14.25" outlineLevel="0" r="22">
      <c r="A22" s="8" t="s">
        <v>24</v>
      </c>
      <c r="B22" s="5" t="n">
        <v>1.925</v>
      </c>
      <c r="C22" s="6" t="n">
        <v>6.3</v>
      </c>
      <c r="D22" s="4"/>
    </row>
    <row collapsed="false" customFormat="false" customHeight="false" hidden="false" ht="14.25" outlineLevel="0" r="23">
      <c r="A23" s="8" t="s">
        <v>25</v>
      </c>
      <c r="B23" s="5" t="n">
        <v>10.34</v>
      </c>
      <c r="C23" s="6" t="n">
        <v>13.5</v>
      </c>
      <c r="D23" s="4"/>
    </row>
    <row collapsed="false" customFormat="false" customHeight="false" hidden="false" ht="14.25" outlineLevel="0" r="24">
      <c r="A24" s="7" t="s">
        <v>26</v>
      </c>
      <c r="B24" s="5" t="n">
        <v>2.142</v>
      </c>
      <c r="C24" s="6" t="n">
        <v>6</v>
      </c>
      <c r="D24" s="4"/>
    </row>
    <row collapsed="false" customFormat="false" customHeight="false" hidden="false" ht="14.25" outlineLevel="0" r="25">
      <c r="A25" s="8" t="s">
        <v>27</v>
      </c>
      <c r="B25" s="5" t="n">
        <v>2.07</v>
      </c>
      <c r="C25" s="4" t="n">
        <v>5.76</v>
      </c>
      <c r="D25" s="4"/>
    </row>
    <row collapsed="false" customFormat="false" customHeight="false" hidden="false" ht="14.25" outlineLevel="0" r="26">
      <c r="A26" s="8" t="s">
        <v>28</v>
      </c>
      <c r="B26" s="5" t="n">
        <v>2.496</v>
      </c>
      <c r="C26" s="4" t="n">
        <v>7.84</v>
      </c>
      <c r="D26" s="4"/>
    </row>
    <row collapsed="false" customFormat="false" customHeight="false" hidden="false" ht="14.25" outlineLevel="0" r="27">
      <c r="A27" s="8" t="s">
        <v>29</v>
      </c>
      <c r="B27" s="4" t="n">
        <v>4.048</v>
      </c>
      <c r="C27" s="4" t="n">
        <v>8.12</v>
      </c>
      <c r="D27" s="4"/>
    </row>
    <row collapsed="false" customFormat="false" customHeight="false" hidden="false" ht="14.25" outlineLevel="0" r="28">
      <c r="A28" s="8"/>
      <c r="B28" s="4"/>
      <c r="C28" s="4"/>
      <c r="D28" s="4"/>
    </row>
    <row collapsed="false" customFormat="false" customHeight="false" hidden="false" ht="15" outlineLevel="0" r="29">
      <c r="A29" s="9" t="s">
        <v>30</v>
      </c>
      <c r="B29" s="5" t="n">
        <f aca="false">SUM(B3:B27)</f>
        <v>185.4473</v>
      </c>
      <c r="C29" s="6" t="n">
        <f aca="false">SUM(C3:C27)</f>
        <v>270.5867</v>
      </c>
      <c r="D29" s="4"/>
    </row>
  </sheetData>
  <mergeCells count="1">
    <mergeCell ref="A1:D1"/>
  </mergeCells>
  <printOptions headings="false" gridLines="false" gridLinesSet="true" horizontalCentered="true" verticalCentered="true"/>
  <pageMargins left="0.39375" right="0.39375" top="0.590277777777778" bottom="0.590277777777778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3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15" zoomScaleNormal="115" zoomScalePageLayoutView="100">
      <pane activePane="bottomLeft" state="frozen" topLeftCell="A4" xSplit="0" ySplit="3"/>
      <selection activeCell="A1" activeCellId="0" pane="topLeft" sqref="A1"/>
      <selection activeCell="G4" activeCellId="0" pane="bottomLeft" sqref="G4"/>
    </sheetView>
  </sheetViews>
  <sheetFormatPr defaultRowHeight="14.25"/>
  <cols>
    <col collapsed="false" hidden="false" max="1" min="1" style="0" width="20.7551020408163"/>
    <col collapsed="false" hidden="false" max="2" min="2" style="0" width="10.25"/>
    <col collapsed="false" hidden="false" max="3" min="3" style="0" width="13.1326530612245"/>
    <col collapsed="false" hidden="false" max="4" min="4" style="0" width="5.75"/>
    <col collapsed="false" hidden="false" max="5" min="5" style="0" width="13.2448979591837"/>
    <col collapsed="false" hidden="false" max="6" min="6" style="0" width="5.75"/>
    <col collapsed="false" hidden="false" max="7" min="7" style="0" width="12.75"/>
    <col collapsed="false" hidden="false" max="8" min="8" style="0" width="5.75"/>
    <col collapsed="false" hidden="false" max="9" min="9" style="0" width="11.9948979591837"/>
    <col collapsed="false" hidden="false" max="10" min="10" style="0" width="23.75"/>
    <col collapsed="false" hidden="false" max="1025" min="11" style="10" width="9.12755102040816"/>
  </cols>
  <sheetData>
    <row collapsed="false" customFormat="false" customHeight="true" hidden="false" ht="30.75" outlineLevel="0" r="1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</row>
    <row collapsed="false" customFormat="false" customHeight="false" hidden="false" ht="15" outlineLevel="0" r="2">
      <c r="A2" s="12" t="s">
        <v>32</v>
      </c>
      <c r="B2" s="13" t="s">
        <v>33</v>
      </c>
      <c r="C2" s="13"/>
      <c r="D2" s="3" t="s">
        <v>34</v>
      </c>
      <c r="E2" s="3"/>
      <c r="F2" s="3" t="s">
        <v>35</v>
      </c>
      <c r="G2" s="3"/>
      <c r="H2" s="3" t="s">
        <v>36</v>
      </c>
      <c r="I2" s="3"/>
      <c r="J2" s="3" t="s">
        <v>4</v>
      </c>
    </row>
    <row collapsed="false" customFormat="false" customHeight="false" hidden="false" ht="15" outlineLevel="0" r="3">
      <c r="A3" s="12"/>
      <c r="B3" s="12" t="s">
        <v>37</v>
      </c>
      <c r="C3" s="12" t="s">
        <v>3</v>
      </c>
      <c r="D3" s="12" t="s">
        <v>38</v>
      </c>
      <c r="E3" s="12" t="s">
        <v>39</v>
      </c>
      <c r="F3" s="12" t="s">
        <v>38</v>
      </c>
      <c r="G3" s="12" t="s">
        <v>40</v>
      </c>
      <c r="H3" s="3" t="s">
        <v>38</v>
      </c>
      <c r="I3" s="3" t="s">
        <v>41</v>
      </c>
      <c r="J3" s="3"/>
    </row>
    <row collapsed="false" customFormat="false" customHeight="false" hidden="false" ht="14.25" outlineLevel="0" r="4">
      <c r="A4" s="14" t="s">
        <v>5</v>
      </c>
      <c r="B4" s="15" t="n">
        <v>11.7128</v>
      </c>
      <c r="C4" s="16" t="n">
        <v>14.038</v>
      </c>
      <c r="D4" s="17" t="n">
        <v>1</v>
      </c>
      <c r="E4" s="17" t="n">
        <v>160</v>
      </c>
      <c r="F4" s="17" t="n">
        <v>4</v>
      </c>
      <c r="G4" s="17" t="n">
        <v>400</v>
      </c>
      <c r="H4" s="18" t="n">
        <v>1</v>
      </c>
      <c r="I4" s="19" t="n">
        <v>1200</v>
      </c>
      <c r="J4" s="20" t="s">
        <v>42</v>
      </c>
    </row>
    <row collapsed="false" customFormat="false" customHeight="false" hidden="false" ht="14.25" outlineLevel="0" r="5">
      <c r="A5" s="14" t="s">
        <v>6</v>
      </c>
      <c r="B5" s="15" t="n">
        <v>3.99</v>
      </c>
      <c r="C5" s="17" t="n">
        <v>8.32</v>
      </c>
      <c r="D5" s="17" t="n">
        <v>2</v>
      </c>
      <c r="E5" s="17" t="n">
        <v>200</v>
      </c>
      <c r="F5" s="17" t="n">
        <v>1</v>
      </c>
      <c r="G5" s="17" t="n">
        <v>600</v>
      </c>
      <c r="H5" s="18" t="n">
        <v>1</v>
      </c>
      <c r="I5" s="19" t="n">
        <v>6000</v>
      </c>
      <c r="J5" s="20" t="s">
        <v>43</v>
      </c>
    </row>
    <row collapsed="false" customFormat="false" customHeight="false" hidden="false" ht="14.25" outlineLevel="0" r="6">
      <c r="A6" s="14" t="s">
        <v>7</v>
      </c>
      <c r="B6" s="15" t="n">
        <v>5.719</v>
      </c>
      <c r="C6" s="17" t="n">
        <v>9.62</v>
      </c>
      <c r="D6" s="17" t="n">
        <v>1</v>
      </c>
      <c r="E6" s="17" t="n">
        <v>100</v>
      </c>
      <c r="F6" s="17" t="n">
        <v>1</v>
      </c>
      <c r="G6" s="17" t="n">
        <v>100</v>
      </c>
      <c r="H6" s="18" t="s">
        <v>44</v>
      </c>
      <c r="I6" s="19"/>
      <c r="J6" s="21" t="s">
        <v>44</v>
      </c>
    </row>
    <row collapsed="false" customFormat="false" customHeight="false" hidden="false" ht="14.25" outlineLevel="0" r="7">
      <c r="A7" s="14" t="s">
        <v>8</v>
      </c>
      <c r="B7" s="15" t="n">
        <v>9.4287</v>
      </c>
      <c r="C7" s="16" t="n">
        <v>12.8493</v>
      </c>
      <c r="D7" s="17" t="n">
        <v>1</v>
      </c>
      <c r="E7" s="17" t="n">
        <v>100</v>
      </c>
      <c r="F7" s="17" t="n">
        <v>4</v>
      </c>
      <c r="G7" s="17" t="n">
        <v>400</v>
      </c>
      <c r="H7" s="18" t="n">
        <v>1</v>
      </c>
      <c r="I7" s="19" t="n">
        <v>1200</v>
      </c>
      <c r="J7" s="20" t="s">
        <v>42</v>
      </c>
    </row>
    <row collapsed="false" customFormat="false" customHeight="false" hidden="false" ht="14.25" outlineLevel="0" r="8">
      <c r="A8" s="14" t="s">
        <v>9</v>
      </c>
      <c r="B8" s="15" t="n">
        <v>3.705</v>
      </c>
      <c r="C8" s="16" t="n">
        <v>7.7</v>
      </c>
      <c r="D8" s="17" t="n">
        <v>1</v>
      </c>
      <c r="E8" s="17" t="n">
        <v>100</v>
      </c>
      <c r="F8" s="17" t="n">
        <v>1</v>
      </c>
      <c r="G8" s="17" t="n">
        <v>600</v>
      </c>
      <c r="H8" s="18" t="n">
        <v>1</v>
      </c>
      <c r="I8" s="19" t="n">
        <v>6000</v>
      </c>
      <c r="J8" s="20" t="s">
        <v>43</v>
      </c>
    </row>
    <row collapsed="false" customFormat="false" customHeight="false" hidden="false" ht="14.25" outlineLevel="0" r="9">
      <c r="A9" s="14" t="s">
        <v>10</v>
      </c>
      <c r="B9" s="15" t="n">
        <v>3.4125</v>
      </c>
      <c r="C9" s="16" t="n">
        <v>7.4</v>
      </c>
      <c r="D9" s="17" t="n">
        <v>1</v>
      </c>
      <c r="E9" s="17" t="n">
        <v>100</v>
      </c>
      <c r="F9" s="17" t="n">
        <v>1</v>
      </c>
      <c r="G9" s="17" t="n">
        <v>100</v>
      </c>
      <c r="H9" s="18" t="n">
        <v>1</v>
      </c>
      <c r="I9" s="19"/>
      <c r="J9" s="21" t="s">
        <v>44</v>
      </c>
    </row>
    <row collapsed="false" customFormat="false" customHeight="false" hidden="false" ht="14.25" outlineLevel="0" r="10">
      <c r="A10" s="14" t="s">
        <v>11</v>
      </c>
      <c r="B10" s="15" t="n">
        <v>9.572</v>
      </c>
      <c r="C10" s="16" t="n">
        <v>12.8766</v>
      </c>
      <c r="D10" s="17" t="n">
        <v>1</v>
      </c>
      <c r="E10" s="17" t="n">
        <v>100</v>
      </c>
      <c r="F10" s="17" t="n">
        <v>4</v>
      </c>
      <c r="G10" s="17" t="n">
        <v>400</v>
      </c>
      <c r="H10" s="22" t="n">
        <v>1</v>
      </c>
      <c r="I10" s="23" t="n">
        <v>1200</v>
      </c>
      <c r="J10" s="20" t="s">
        <v>42</v>
      </c>
    </row>
    <row collapsed="false" customFormat="false" customHeight="false" hidden="false" ht="14.25" outlineLevel="0" r="11">
      <c r="A11" s="14" t="s">
        <v>12</v>
      </c>
      <c r="B11" s="15" t="n">
        <v>8.932</v>
      </c>
      <c r="C11" s="17" t="n">
        <v>11.96</v>
      </c>
      <c r="D11" s="17" t="n">
        <v>1</v>
      </c>
      <c r="E11" s="17" t="n">
        <v>100</v>
      </c>
      <c r="F11" s="17" t="n">
        <v>4</v>
      </c>
      <c r="G11" s="17" t="n">
        <v>400</v>
      </c>
      <c r="H11" s="18" t="n">
        <v>1</v>
      </c>
      <c r="I11" s="19" t="n">
        <v>1200</v>
      </c>
      <c r="J11" s="20" t="s">
        <v>42</v>
      </c>
    </row>
    <row collapsed="false" customFormat="false" customHeight="false" hidden="false" ht="14.25" outlineLevel="0" r="12">
      <c r="A12" s="14" t="s">
        <v>13</v>
      </c>
      <c r="B12" s="15" t="n">
        <v>5.9444</v>
      </c>
      <c r="C12" s="17" t="n">
        <v>10.02</v>
      </c>
      <c r="D12" s="17" t="n">
        <v>2</v>
      </c>
      <c r="E12" s="17" t="n">
        <v>200</v>
      </c>
      <c r="F12" s="17" t="n">
        <v>2</v>
      </c>
      <c r="G12" s="17" t="n">
        <v>200</v>
      </c>
      <c r="H12" s="22" t="n">
        <v>1</v>
      </c>
      <c r="I12" s="23" t="n">
        <v>6000</v>
      </c>
      <c r="J12" s="20" t="s">
        <v>43</v>
      </c>
    </row>
    <row collapsed="false" customFormat="false" customHeight="false" hidden="false" ht="14.25" outlineLevel="0" r="13">
      <c r="A13" s="24" t="s">
        <v>14</v>
      </c>
      <c r="B13" s="25" t="n">
        <v>14.4899</v>
      </c>
      <c r="C13" s="17" t="n">
        <v>17.44</v>
      </c>
      <c r="D13" s="17" t="n">
        <v>1</v>
      </c>
      <c r="E13" s="17" t="n">
        <v>220</v>
      </c>
      <c r="F13" s="17" t="n">
        <v>4</v>
      </c>
      <c r="G13" s="17" t="n">
        <v>400</v>
      </c>
      <c r="H13" s="22" t="s">
        <v>44</v>
      </c>
      <c r="I13" s="23"/>
      <c r="J13" s="21" t="s">
        <v>44</v>
      </c>
    </row>
    <row collapsed="false" customFormat="false" customHeight="false" hidden="false" ht="14.25" outlineLevel="0" r="14">
      <c r="A14" s="26" t="s">
        <v>15</v>
      </c>
      <c r="B14" s="15" t="n">
        <v>31.0753</v>
      </c>
      <c r="C14" s="16" t="n">
        <v>29.8</v>
      </c>
      <c r="D14" s="17" t="n">
        <v>2</v>
      </c>
      <c r="E14" s="17" t="n">
        <v>460</v>
      </c>
      <c r="F14" s="17" t="n">
        <v>6</v>
      </c>
      <c r="G14" s="17" t="n">
        <v>600</v>
      </c>
      <c r="H14" s="18" t="s">
        <v>44</v>
      </c>
      <c r="I14" s="19"/>
      <c r="J14" s="21" t="s">
        <v>44</v>
      </c>
    </row>
    <row collapsed="false" customFormat="false" customHeight="false" hidden="false" ht="14.25" outlineLevel="0" r="15">
      <c r="A15" s="24" t="s">
        <v>16</v>
      </c>
      <c r="B15" s="15" t="n">
        <v>17.6203</v>
      </c>
      <c r="C15" s="16" t="n">
        <v>16.9199</v>
      </c>
      <c r="D15" s="17" t="n">
        <v>1</v>
      </c>
      <c r="E15" s="17" t="n">
        <v>220</v>
      </c>
      <c r="F15" s="17" t="n">
        <v>4</v>
      </c>
      <c r="G15" s="17" t="n">
        <v>400</v>
      </c>
      <c r="H15" s="22" t="s">
        <v>44</v>
      </c>
      <c r="I15" s="23"/>
      <c r="J15" s="21" t="s">
        <v>44</v>
      </c>
    </row>
    <row collapsed="false" customFormat="false" customHeight="false" hidden="false" ht="14.25" outlineLevel="0" r="16">
      <c r="A16" s="26" t="s">
        <v>17</v>
      </c>
      <c r="B16" s="15" t="n">
        <v>1.711</v>
      </c>
      <c r="C16" s="17" t="n">
        <v>6.34</v>
      </c>
      <c r="D16" s="17" t="n">
        <v>1</v>
      </c>
      <c r="E16" s="17" t="n">
        <v>100</v>
      </c>
      <c r="F16" s="17" t="n">
        <v>1</v>
      </c>
      <c r="G16" s="17" t="n">
        <v>600</v>
      </c>
      <c r="H16" s="22" t="s">
        <v>44</v>
      </c>
      <c r="I16" s="23"/>
      <c r="J16" s="21" t="s">
        <v>44</v>
      </c>
    </row>
    <row collapsed="false" customFormat="false" customHeight="false" hidden="false" ht="14.25" outlineLevel="0" r="17">
      <c r="A17" s="26" t="s">
        <v>18</v>
      </c>
      <c r="B17" s="15" t="n">
        <v>2.25</v>
      </c>
      <c r="C17" s="16" t="n">
        <v>6</v>
      </c>
      <c r="D17" s="17" t="s">
        <v>44</v>
      </c>
      <c r="E17" s="17" t="s">
        <v>44</v>
      </c>
      <c r="F17" s="17" t="s">
        <v>44</v>
      </c>
      <c r="G17" s="17" t="s">
        <v>44</v>
      </c>
      <c r="H17" s="22" t="s">
        <v>44</v>
      </c>
      <c r="I17" s="19"/>
      <c r="J17" s="21" t="s">
        <v>44</v>
      </c>
    </row>
    <row collapsed="false" customFormat="false" customHeight="false" hidden="false" ht="14.25" outlineLevel="0" r="18">
      <c r="A18" s="24" t="s">
        <v>19</v>
      </c>
      <c r="B18" s="15" t="n">
        <v>2.43</v>
      </c>
      <c r="C18" s="17" t="n">
        <v>6.24</v>
      </c>
      <c r="D18" s="17" t="s">
        <v>44</v>
      </c>
      <c r="E18" s="17" t="s">
        <v>44</v>
      </c>
      <c r="F18" s="17" t="s">
        <v>44</v>
      </c>
      <c r="G18" s="17" t="s">
        <v>44</v>
      </c>
      <c r="H18" s="22" t="s">
        <v>44</v>
      </c>
      <c r="I18" s="19"/>
      <c r="J18" s="21" t="s">
        <v>44</v>
      </c>
    </row>
    <row collapsed="false" customFormat="false" customHeight="false" hidden="false" ht="14.25" outlineLevel="0" r="19">
      <c r="A19" s="26" t="s">
        <v>20</v>
      </c>
      <c r="B19" s="15" t="n">
        <v>3.43</v>
      </c>
      <c r="C19" s="16" t="n">
        <v>7.7</v>
      </c>
      <c r="D19" s="17" t="n">
        <v>1</v>
      </c>
      <c r="E19" s="17" t="n">
        <v>100</v>
      </c>
      <c r="F19" s="17" t="n">
        <v>2</v>
      </c>
      <c r="G19" s="17" t="n">
        <v>200</v>
      </c>
      <c r="H19" s="22" t="s">
        <v>44</v>
      </c>
      <c r="I19" s="23"/>
      <c r="J19" s="21" t="s">
        <v>44</v>
      </c>
    </row>
    <row collapsed="false" customFormat="false" customHeight="false" hidden="false" ht="14.25" outlineLevel="0" r="20">
      <c r="A20" s="24" t="s">
        <v>21</v>
      </c>
      <c r="B20" s="15" t="n">
        <v>3.4485</v>
      </c>
      <c r="C20" s="16" t="n">
        <v>8.1</v>
      </c>
      <c r="D20" s="17" t="n">
        <v>1</v>
      </c>
      <c r="E20" s="17" t="n">
        <v>100</v>
      </c>
      <c r="F20" s="17" t="n">
        <v>2</v>
      </c>
      <c r="G20" s="17" t="n">
        <v>200</v>
      </c>
      <c r="H20" s="22" t="s">
        <v>44</v>
      </c>
      <c r="I20" s="19"/>
      <c r="J20" s="21" t="s">
        <v>44</v>
      </c>
    </row>
    <row collapsed="false" customFormat="false" customHeight="false" hidden="false" ht="14.25" outlineLevel="0" r="21">
      <c r="A21" s="26" t="s">
        <v>22</v>
      </c>
      <c r="B21" s="15" t="n">
        <v>10.554</v>
      </c>
      <c r="C21" s="17" t="n">
        <v>14.16</v>
      </c>
      <c r="D21" s="17" t="s">
        <v>44</v>
      </c>
      <c r="E21" s="17" t="s">
        <v>44</v>
      </c>
      <c r="F21" s="17" t="s">
        <v>44</v>
      </c>
      <c r="G21" s="17" t="s">
        <v>44</v>
      </c>
      <c r="H21" s="22" t="s">
        <v>44</v>
      </c>
      <c r="I21" s="19"/>
      <c r="J21" s="21" t="s">
        <v>44</v>
      </c>
    </row>
    <row collapsed="false" customFormat="false" customHeight="true" hidden="false" ht="14.25" outlineLevel="0" r="22">
      <c r="A22" s="27" t="s">
        <v>23</v>
      </c>
      <c r="B22" s="25" t="n">
        <v>13.0009</v>
      </c>
      <c r="C22" s="28" t="n">
        <v>15.5829</v>
      </c>
      <c r="D22" s="29" t="n">
        <v>1</v>
      </c>
      <c r="E22" s="29" t="n">
        <v>160</v>
      </c>
      <c r="F22" s="30" t="n">
        <v>3</v>
      </c>
      <c r="G22" s="30" t="n">
        <v>100</v>
      </c>
      <c r="H22" s="18" t="n">
        <v>1</v>
      </c>
      <c r="I22" s="19" t="n">
        <v>960</v>
      </c>
      <c r="J22" s="20" t="s">
        <v>45</v>
      </c>
    </row>
    <row collapsed="false" customFormat="false" customHeight="false" hidden="false" ht="14.25" outlineLevel="0" r="23">
      <c r="A23" s="27"/>
      <c r="B23" s="25"/>
      <c r="C23" s="28"/>
      <c r="D23" s="29"/>
      <c r="E23" s="29"/>
      <c r="F23" s="31" t="n">
        <v>2</v>
      </c>
      <c r="G23" s="31" t="n">
        <v>600</v>
      </c>
      <c r="H23" s="18" t="n">
        <v>1</v>
      </c>
      <c r="I23" s="19" t="n">
        <v>2000</v>
      </c>
      <c r="J23" s="20" t="s">
        <v>46</v>
      </c>
    </row>
    <row collapsed="false" customFormat="false" customHeight="false" hidden="false" ht="14.25" outlineLevel="0" r="24">
      <c r="A24" s="27"/>
      <c r="B24" s="25"/>
      <c r="C24" s="28"/>
      <c r="D24" s="29"/>
      <c r="E24" s="29"/>
      <c r="F24" s="29"/>
      <c r="G24" s="29"/>
      <c r="H24" s="18" t="n">
        <v>1</v>
      </c>
      <c r="I24" s="19" t="n">
        <v>400</v>
      </c>
      <c r="J24" s="20" t="s">
        <v>47</v>
      </c>
    </row>
    <row collapsed="false" customFormat="false" customHeight="false" hidden="false" ht="14.25" outlineLevel="0" r="25">
      <c r="A25" s="26" t="s">
        <v>24</v>
      </c>
      <c r="B25" s="15" t="n">
        <v>1.925</v>
      </c>
      <c r="C25" s="16" t="n">
        <v>6.3</v>
      </c>
      <c r="D25" s="17" t="n">
        <v>1</v>
      </c>
      <c r="E25" s="17" t="n">
        <v>100</v>
      </c>
      <c r="F25" s="17" t="n">
        <v>1</v>
      </c>
      <c r="G25" s="17" t="n">
        <v>100</v>
      </c>
      <c r="H25" s="22" t="s">
        <v>44</v>
      </c>
      <c r="I25" s="19"/>
      <c r="J25" s="21" t="s">
        <v>44</v>
      </c>
    </row>
    <row collapsed="false" customFormat="false" customHeight="true" hidden="false" ht="14.25" outlineLevel="0" r="26">
      <c r="A26" s="27" t="s">
        <v>25</v>
      </c>
      <c r="B26" s="25" t="n">
        <v>10.34</v>
      </c>
      <c r="C26" s="28" t="n">
        <v>13.5</v>
      </c>
      <c r="D26" s="29" t="n">
        <v>1</v>
      </c>
      <c r="E26" s="29" t="n">
        <v>160</v>
      </c>
      <c r="F26" s="30" t="n">
        <v>2</v>
      </c>
      <c r="G26" s="30" t="n">
        <v>600</v>
      </c>
      <c r="H26" s="22" t="n">
        <v>1</v>
      </c>
      <c r="I26" s="23" t="n">
        <v>660</v>
      </c>
      <c r="J26" s="20" t="s">
        <v>48</v>
      </c>
    </row>
    <row collapsed="false" customFormat="false" customHeight="false" hidden="false" ht="14.25" outlineLevel="0" r="27">
      <c r="A27" s="27"/>
      <c r="B27" s="25"/>
      <c r="C27" s="28"/>
      <c r="D27" s="29"/>
      <c r="E27" s="29"/>
      <c r="F27" s="31" t="n">
        <v>1</v>
      </c>
      <c r="G27" s="31" t="n">
        <v>100</v>
      </c>
      <c r="H27" s="22" t="n">
        <v>1</v>
      </c>
      <c r="I27" s="23" t="n">
        <v>5000</v>
      </c>
      <c r="J27" s="20" t="s">
        <v>49</v>
      </c>
    </row>
    <row collapsed="false" customFormat="false" customHeight="false" hidden="false" ht="14.25" outlineLevel="0" r="28">
      <c r="A28" s="24" t="s">
        <v>26</v>
      </c>
      <c r="B28" s="15" t="n">
        <v>2.142</v>
      </c>
      <c r="C28" s="16" t="n">
        <v>6</v>
      </c>
      <c r="D28" s="17" t="n">
        <v>1</v>
      </c>
      <c r="E28" s="17" t="n">
        <v>100</v>
      </c>
      <c r="F28" s="17" t="n">
        <v>2</v>
      </c>
      <c r="G28" s="17" t="n">
        <v>200</v>
      </c>
      <c r="H28" s="18" t="s">
        <v>44</v>
      </c>
      <c r="I28" s="19"/>
      <c r="J28" s="21" t="s">
        <v>44</v>
      </c>
    </row>
    <row collapsed="false" customFormat="false" customHeight="false" hidden="false" ht="14.25" outlineLevel="0" r="29">
      <c r="A29" s="26" t="s">
        <v>27</v>
      </c>
      <c r="B29" s="15" t="n">
        <v>2.07</v>
      </c>
      <c r="C29" s="17" t="n">
        <v>5.76</v>
      </c>
      <c r="D29" s="17" t="n">
        <v>1</v>
      </c>
      <c r="E29" s="17" t="n">
        <v>100</v>
      </c>
      <c r="F29" s="17" t="n">
        <v>1</v>
      </c>
      <c r="G29" s="17" t="n">
        <v>600</v>
      </c>
      <c r="H29" s="18" t="s">
        <v>44</v>
      </c>
      <c r="I29" s="19"/>
      <c r="J29" s="21" t="s">
        <v>44</v>
      </c>
    </row>
    <row collapsed="false" customFormat="false" customHeight="false" hidden="false" ht="14.25" outlineLevel="0" r="30">
      <c r="A30" s="26" t="s">
        <v>28</v>
      </c>
      <c r="B30" s="15" t="n">
        <v>2.496</v>
      </c>
      <c r="C30" s="17" t="n">
        <v>7.84</v>
      </c>
      <c r="D30" s="17" t="n">
        <v>1</v>
      </c>
      <c r="E30" s="17" t="n">
        <v>100</v>
      </c>
      <c r="F30" s="17" t="n">
        <v>2</v>
      </c>
      <c r="G30" s="17" t="n">
        <v>200</v>
      </c>
      <c r="H30" s="18" t="s">
        <v>44</v>
      </c>
      <c r="I30" s="19"/>
      <c r="J30" s="21" t="s">
        <v>44</v>
      </c>
    </row>
    <row collapsed="false" customFormat="false" customHeight="false" hidden="false" ht="14.25" outlineLevel="0" r="31">
      <c r="A31" s="32" t="s">
        <v>29</v>
      </c>
      <c r="B31" s="33" t="n">
        <v>4.048</v>
      </c>
      <c r="C31" s="33" t="n">
        <v>8.12</v>
      </c>
      <c r="D31" s="33" t="n">
        <v>1</v>
      </c>
      <c r="E31" s="33" t="n">
        <v>100</v>
      </c>
      <c r="F31" s="33" t="n">
        <v>2</v>
      </c>
      <c r="G31" s="33" t="n">
        <v>200</v>
      </c>
      <c r="H31" s="34" t="s">
        <v>44</v>
      </c>
      <c r="I31" s="35"/>
      <c r="J31" s="36" t="s">
        <v>44</v>
      </c>
    </row>
    <row collapsed="false" customFormat="false" customHeight="false" hidden="false" ht="14.25" outlineLevel="0" r="32">
      <c r="A32" s="37"/>
      <c r="B32" s="38"/>
      <c r="C32" s="38"/>
      <c r="D32" s="39"/>
      <c r="E32" s="39"/>
      <c r="F32" s="39"/>
      <c r="G32" s="39"/>
      <c r="H32" s="40"/>
      <c r="I32" s="40"/>
      <c r="J32" s="41"/>
    </row>
    <row collapsed="false" customFormat="false" customHeight="false" hidden="false" ht="15" outlineLevel="0" r="33">
      <c r="A33" s="42" t="s">
        <v>30</v>
      </c>
      <c r="B33" s="43" t="n">
        <f aca="false">SUM(B4:B31)</f>
        <v>185.4473</v>
      </c>
      <c r="C33" s="44" t="n">
        <f aca="false">SUM(C4:C31)</f>
        <v>270.5867</v>
      </c>
      <c r="D33" s="45" t="n">
        <f aca="false">SUM(D4:D31)</f>
        <v>25</v>
      </c>
      <c r="E33" s="45" t="n">
        <f aca="false">SUM(E4:E31)</f>
        <v>3180</v>
      </c>
      <c r="F33" s="45" t="n">
        <f aca="false">SUM(F4:F31)</f>
        <v>57</v>
      </c>
      <c r="G33" s="45" t="n">
        <f aca="false">SUM(G4:G31)</f>
        <v>8300</v>
      </c>
      <c r="H33" s="46" t="n">
        <f aca="false">SUM(H4:H31)</f>
        <v>13</v>
      </c>
      <c r="I33" s="47" t="n">
        <f aca="false">SUM(I4:I31)</f>
        <v>31820</v>
      </c>
      <c r="J33" s="48" t="s">
        <v>44</v>
      </c>
    </row>
  </sheetData>
  <mergeCells count="19">
    <mergeCell ref="A1:J1"/>
    <mergeCell ref="A2:A3"/>
    <mergeCell ref="B2:C2"/>
    <mergeCell ref="D2:E2"/>
    <mergeCell ref="F2:G2"/>
    <mergeCell ref="H2:I2"/>
    <mergeCell ref="J2:J3"/>
    <mergeCell ref="A22:A24"/>
    <mergeCell ref="B22:B24"/>
    <mergeCell ref="C22:C24"/>
    <mergeCell ref="D22:D24"/>
    <mergeCell ref="E22:E24"/>
    <mergeCell ref="F23:F24"/>
    <mergeCell ref="G23:G24"/>
    <mergeCell ref="A26:A27"/>
    <mergeCell ref="B26:B27"/>
    <mergeCell ref="C26:C27"/>
    <mergeCell ref="D26:D27"/>
    <mergeCell ref="E26:E27"/>
  </mergeCells>
  <printOptions headings="false" gridLines="false" gridLinesSet="true" horizontalCentered="true" verticalCentered="true"/>
  <pageMargins left="0.39375" right="0.39375" top="0.590277777777778" bottom="0.590277777777778" header="0.511805555555555" footer="0.511805555555555"/>
  <pageSetup blackAndWhite="false" cellComments="none" copies="1" draft="false" firstPageNumber="0" fitToHeight="1" fitToWidth="1" horizontalDpi="300" orientation="landscape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M3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F39" activeCellId="0" pane="topLeft" sqref="F39"/>
    </sheetView>
  </sheetViews>
  <sheetFormatPr defaultRowHeight="14.25"/>
  <cols>
    <col collapsed="false" hidden="false" max="1" min="1" style="0" width="4.25"/>
    <col collapsed="false" hidden="false" max="2" min="2" style="0" width="18.6275510204082"/>
    <col collapsed="false" hidden="false" max="3" min="3" style="0" width="13.0051020408163"/>
    <col collapsed="false" hidden="false" max="4" min="4" style="0" width="10"/>
    <col collapsed="false" hidden="false" max="5" min="5" style="0" width="11.8775510204082"/>
    <col collapsed="false" hidden="false" max="6" min="6" style="0" width="12.6275510204082"/>
    <col collapsed="false" hidden="false" max="7" min="7" style="0" width="24.8724489795918"/>
    <col collapsed="false" hidden="false" max="8" min="8" style="0" width="12.3724489795918"/>
    <col collapsed="false" hidden="false" max="9" min="9" style="0" width="14.2448979591837"/>
    <col collapsed="false" hidden="false" max="10" min="10" style="0" width="13.5"/>
    <col collapsed="false" hidden="false" max="11" min="11" style="0" width="2.87755102040816"/>
    <col collapsed="false" hidden="false" max="12" min="12" style="0" width="32.3775510204082"/>
    <col collapsed="false" hidden="false" max="13" min="13" style="0" width="29.8775510204082"/>
    <col collapsed="false" hidden="false" max="14" min="14" style="49" width="9.12755102040816"/>
    <col collapsed="false" hidden="false" max="15" min="15" style="49" width="10.25"/>
    <col collapsed="false" hidden="false" max="16" min="16" style="49" width="13.6275510204082"/>
    <col collapsed="false" hidden="false" max="17" min="17" style="49" width="11.3775510204082"/>
    <col collapsed="false" hidden="false" max="1025" min="18" style="49" width="9.12755102040816"/>
  </cols>
  <sheetData>
    <row collapsed="false" customFormat="false" customHeight="true" hidden="false" ht="23.25" outlineLevel="0" r="2">
      <c r="B2" s="12" t="s">
        <v>50</v>
      </c>
      <c r="C2" s="12"/>
      <c r="D2" s="12"/>
      <c r="E2" s="12"/>
      <c r="G2" s="12" t="s">
        <v>51</v>
      </c>
      <c r="H2" s="12"/>
      <c r="I2" s="12"/>
      <c r="J2" s="12"/>
    </row>
    <row collapsed="false" customFormat="false" customHeight="true" hidden="false" ht="30.75" outlineLevel="0" r="3">
      <c r="B3" s="50" t="s">
        <v>52</v>
      </c>
      <c r="C3" s="51" t="s">
        <v>53</v>
      </c>
      <c r="D3" s="52" t="s">
        <v>54</v>
      </c>
      <c r="E3" s="52" t="s">
        <v>55</v>
      </c>
      <c r="G3" s="50" t="s">
        <v>52</v>
      </c>
      <c r="H3" s="52" t="s">
        <v>56</v>
      </c>
      <c r="I3" s="52" t="s">
        <v>57</v>
      </c>
      <c r="J3" s="52" t="s">
        <v>58</v>
      </c>
      <c r="L3" s="49" t="s">
        <v>59</v>
      </c>
    </row>
    <row collapsed="false" customFormat="false" customHeight="false" hidden="false" ht="14.25" outlineLevel="0" r="4">
      <c r="B4" s="52" t="s">
        <v>60</v>
      </c>
      <c r="C4" s="52" t="n">
        <v>3180</v>
      </c>
      <c r="D4" s="53" t="n">
        <v>1</v>
      </c>
      <c r="E4" s="52" t="n">
        <f aca="false">D4*C4</f>
        <v>3180</v>
      </c>
      <c r="G4" s="52" t="s">
        <v>60</v>
      </c>
      <c r="H4" s="52" t="n">
        <v>3180</v>
      </c>
      <c r="I4" s="52" t="n">
        <v>0.66</v>
      </c>
      <c r="J4" s="52" t="n">
        <f aca="false">H4*I4</f>
        <v>2098.8</v>
      </c>
    </row>
    <row collapsed="false" customFormat="false" customHeight="false" hidden="false" ht="14.25" outlineLevel="0" r="5">
      <c r="B5" s="52" t="s">
        <v>61</v>
      </c>
      <c r="C5" s="52" t="n">
        <v>8300</v>
      </c>
      <c r="D5" s="52" t="n">
        <v>0.8</v>
      </c>
      <c r="E5" s="52" t="n">
        <f aca="false">D5*C5</f>
        <v>6640</v>
      </c>
      <c r="G5" s="50" t="s">
        <v>61</v>
      </c>
      <c r="H5" s="52" t="n">
        <v>8300</v>
      </c>
      <c r="I5" s="52" t="n">
        <v>0.2</v>
      </c>
      <c r="J5" s="52" t="n">
        <f aca="false">SUM(I5*5*200*57*0.8)</f>
        <v>9120</v>
      </c>
      <c r="K5" s="54" t="s">
        <v>62</v>
      </c>
      <c r="L5" s="49" t="s">
        <v>63</v>
      </c>
      <c r="M5" s="49" t="s">
        <v>64</v>
      </c>
    </row>
    <row collapsed="false" customFormat="false" customHeight="true" hidden="false" ht="15" outlineLevel="0" r="6">
      <c r="B6" s="52" t="s">
        <v>65</v>
      </c>
      <c r="C6" s="52" t="n">
        <v>31820</v>
      </c>
      <c r="D6" s="53" t="n">
        <v>1</v>
      </c>
      <c r="E6" s="52" t="n">
        <f aca="false">D6*C6</f>
        <v>31820</v>
      </c>
      <c r="G6" s="52" t="s">
        <v>66</v>
      </c>
      <c r="H6" s="52" t="n">
        <v>960</v>
      </c>
      <c r="I6" s="53" t="n">
        <v>1</v>
      </c>
      <c r="J6" s="52" t="n">
        <f aca="false">H6*I6</f>
        <v>960</v>
      </c>
      <c r="K6" s="54" t="s">
        <v>62</v>
      </c>
      <c r="L6" s="49" t="s">
        <v>67</v>
      </c>
    </row>
    <row collapsed="false" customFormat="false" customHeight="true" hidden="false" ht="15" outlineLevel="0" r="7">
      <c r="B7" s="51" t="s">
        <v>68</v>
      </c>
      <c r="C7" s="51"/>
      <c r="D7" s="55" t="n">
        <v>0.27</v>
      </c>
      <c r="E7" s="55"/>
      <c r="G7" s="52" t="s">
        <v>69</v>
      </c>
      <c r="H7" s="52" t="n">
        <v>18000</v>
      </c>
      <c r="I7" s="52" t="n">
        <v>0.5</v>
      </c>
      <c r="J7" s="52" t="n">
        <f aca="false">H7*I7</f>
        <v>9000</v>
      </c>
    </row>
    <row collapsed="false" customFormat="false" customHeight="false" hidden="false" ht="28.5" outlineLevel="0" r="8">
      <c r="B8" s="51"/>
      <c r="C8" s="51"/>
      <c r="D8" s="55"/>
      <c r="E8" s="55"/>
      <c r="G8" s="56" t="s">
        <v>70</v>
      </c>
      <c r="H8" s="52" t="n">
        <v>8060</v>
      </c>
      <c r="I8" s="52" t="n">
        <v>0.7</v>
      </c>
      <c r="J8" s="52" t="n">
        <f aca="false">H8*I8</f>
        <v>5642</v>
      </c>
    </row>
    <row collapsed="false" customFormat="false" customHeight="true" hidden="false" ht="21.75" outlineLevel="0" r="9">
      <c r="B9" s="57" t="s">
        <v>71</v>
      </c>
      <c r="C9" s="57"/>
      <c r="D9" s="57"/>
      <c r="E9" s="57"/>
      <c r="G9" s="52" t="s">
        <v>72</v>
      </c>
      <c r="H9" s="52" t="n">
        <v>4800</v>
      </c>
      <c r="I9" s="52" t="n">
        <v>0.8</v>
      </c>
      <c r="J9" s="52" t="n">
        <f aca="false">H9*I9</f>
        <v>3840</v>
      </c>
    </row>
    <row collapsed="false" customFormat="false" customHeight="false" hidden="false" ht="15" outlineLevel="0" r="10">
      <c r="B10" s="58" t="s">
        <v>73</v>
      </c>
      <c r="C10" s="58"/>
      <c r="D10" s="59" t="n">
        <f aca="false">(E4+E5)*D7+E6</f>
        <v>34471.4</v>
      </c>
      <c r="E10" s="59"/>
      <c r="G10" s="58" t="s">
        <v>73</v>
      </c>
      <c r="H10" s="52"/>
      <c r="I10" s="52"/>
      <c r="J10" s="52" t="n">
        <f aca="false">SUM(J4:J9)</f>
        <v>30660.8</v>
      </c>
    </row>
    <row collapsed="false" customFormat="false" customHeight="true" hidden="false" ht="27" outlineLevel="0" r="15">
      <c r="B15" s="3" t="s">
        <v>74</v>
      </c>
      <c r="C15" s="3"/>
      <c r="D15" s="3"/>
      <c r="E15" s="3"/>
      <c r="F15" s="3"/>
      <c r="G15" s="3"/>
      <c r="H15" s="3"/>
      <c r="I15" s="3"/>
    </row>
    <row collapsed="false" customFormat="false" customHeight="false" hidden="false" ht="14.25" outlineLevel="0" r="16">
      <c r="B16" s="60" t="s">
        <v>75</v>
      </c>
      <c r="C16" s="60"/>
      <c r="D16" s="61" t="s">
        <v>76</v>
      </c>
      <c r="E16" s="61"/>
      <c r="F16" s="61"/>
      <c r="G16" s="61"/>
      <c r="H16" s="61" t="s">
        <v>77</v>
      </c>
      <c r="I16" s="61"/>
    </row>
    <row collapsed="false" customFormat="false" customHeight="false" hidden="false" ht="14.25" outlineLevel="0" r="17">
      <c r="B17" s="60" t="n">
        <v>185.447</v>
      </c>
      <c r="C17" s="60"/>
      <c r="D17" s="62" t="n">
        <f aca="false">SUM(32*B17)</f>
        <v>5934.304</v>
      </c>
      <c r="E17" s="62"/>
      <c r="F17" s="62"/>
      <c r="G17" s="62"/>
      <c r="H17" s="61"/>
      <c r="I17" s="61"/>
    </row>
    <row collapsed="false" customFormat="false" customHeight="false" hidden="false" ht="14.25" outlineLevel="0" r="18">
      <c r="B18" s="60" t="s">
        <v>23</v>
      </c>
      <c r="C18" s="60"/>
      <c r="D18" s="62" t="n">
        <v>3000</v>
      </c>
      <c r="E18" s="62"/>
      <c r="F18" s="62"/>
      <c r="G18" s="62"/>
      <c r="H18" s="63" t="n">
        <f aca="false">SUM((D20-3000)*0.35+3000)</f>
        <v>5602.0064</v>
      </c>
      <c r="I18" s="63"/>
    </row>
    <row collapsed="false" customFormat="false" customHeight="false" hidden="false" ht="14.25" outlineLevel="0" r="19">
      <c r="B19" s="60" t="s">
        <v>78</v>
      </c>
      <c r="C19" s="60"/>
      <c r="D19" s="62" t="n">
        <v>1500</v>
      </c>
      <c r="E19" s="62"/>
      <c r="F19" s="62"/>
      <c r="G19" s="62"/>
      <c r="H19" s="63"/>
      <c r="I19" s="63"/>
    </row>
    <row collapsed="false" customFormat="false" customHeight="false" hidden="false" ht="14.25" outlineLevel="0" r="20">
      <c r="B20" s="64" t="s">
        <v>79</v>
      </c>
      <c r="C20" s="64"/>
      <c r="D20" s="65" t="n">
        <f aca="false">SUM(D17:F19)</f>
        <v>10434.304</v>
      </c>
      <c r="E20" s="65"/>
      <c r="F20" s="65"/>
      <c r="G20" s="65"/>
      <c r="H20" s="63"/>
      <c r="I20" s="63"/>
    </row>
    <row collapsed="false" customFormat="false" customHeight="false" hidden="false" ht="15" outlineLevel="0" r="21"/>
    <row collapsed="false" customFormat="false" customHeight="true" hidden="false" ht="14.25" outlineLevel="0" r="22">
      <c r="B22" s="66" t="s">
        <v>80</v>
      </c>
      <c r="C22" s="66"/>
      <c r="D22" s="66"/>
      <c r="E22" s="67" t="s">
        <v>81</v>
      </c>
      <c r="F22" s="68" t="s">
        <v>82</v>
      </c>
      <c r="G22" s="68"/>
      <c r="H22" s="68"/>
      <c r="I22" s="51" t="s">
        <v>81</v>
      </c>
    </row>
    <row collapsed="false" customFormat="false" customHeight="false" hidden="false" ht="14.25" outlineLevel="0" r="23">
      <c r="B23" s="66"/>
      <c r="C23" s="66"/>
      <c r="D23" s="66"/>
      <c r="E23" s="67"/>
      <c r="F23" s="68"/>
      <c r="G23" s="68"/>
      <c r="H23" s="68"/>
      <c r="I23" s="51"/>
    </row>
    <row collapsed="false" customFormat="false" customHeight="false" hidden="false" ht="14.25" outlineLevel="0" r="24">
      <c r="B24" s="66"/>
      <c r="C24" s="66"/>
      <c r="D24" s="66"/>
      <c r="E24" s="67"/>
      <c r="F24" s="68"/>
      <c r="G24" s="68"/>
      <c r="H24" s="68"/>
      <c r="I24" s="51"/>
    </row>
    <row collapsed="false" customFormat="false" customHeight="false" hidden="false" ht="14.25" outlineLevel="0" r="25">
      <c r="B25" s="66"/>
      <c r="C25" s="66"/>
      <c r="D25" s="66"/>
      <c r="E25" s="67"/>
      <c r="F25" s="68"/>
      <c r="G25" s="68"/>
      <c r="H25" s="68"/>
      <c r="I25" s="51"/>
    </row>
    <row collapsed="false" customFormat="false" customHeight="false" hidden="false" ht="15" outlineLevel="0" r="26">
      <c r="B26" s="69" t="s">
        <v>52</v>
      </c>
      <c r="C26" s="50" t="s">
        <v>83</v>
      </c>
      <c r="D26" s="50" t="s">
        <v>84</v>
      </c>
      <c r="E26" s="70" t="n">
        <f aca="false">SUM(E27:E29)</f>
        <v>10760</v>
      </c>
      <c r="F26" s="69" t="s">
        <v>52</v>
      </c>
      <c r="G26" s="50" t="s">
        <v>83</v>
      </c>
      <c r="H26" s="50" t="s">
        <v>84</v>
      </c>
      <c r="I26" s="71" t="n">
        <f aca="false">SUM(I27:I43)</f>
        <v>21060</v>
      </c>
    </row>
    <row collapsed="false" customFormat="false" customHeight="false" hidden="false" ht="14.25" outlineLevel="0" r="27">
      <c r="B27" s="69" t="s">
        <v>42</v>
      </c>
      <c r="C27" s="50" t="n">
        <v>4</v>
      </c>
      <c r="D27" s="50" t="n">
        <v>1200</v>
      </c>
      <c r="E27" s="72" t="n">
        <f aca="false">D27*C27</f>
        <v>4800</v>
      </c>
      <c r="F27" s="73" t="s">
        <v>85</v>
      </c>
      <c r="G27" s="50" t="n">
        <v>3</v>
      </c>
      <c r="H27" s="50" t="n">
        <v>6000</v>
      </c>
      <c r="I27" s="72" t="n">
        <f aca="false">H27*G27</f>
        <v>18000</v>
      </c>
    </row>
    <row collapsed="false" customFormat="false" customHeight="false" hidden="false" ht="14.25" outlineLevel="0" r="28">
      <c r="B28" s="69" t="s">
        <v>45</v>
      </c>
      <c r="C28" s="50" t="n">
        <v>1</v>
      </c>
      <c r="D28" s="50" t="n">
        <v>960</v>
      </c>
      <c r="E28" s="72" t="n">
        <f aca="false">D28*C28</f>
        <v>960</v>
      </c>
      <c r="F28" s="73" t="s">
        <v>47</v>
      </c>
      <c r="G28" s="50" t="n">
        <v>1</v>
      </c>
      <c r="H28" s="50" t="n">
        <v>400</v>
      </c>
      <c r="I28" s="72" t="n">
        <f aca="false">H28*G28</f>
        <v>400</v>
      </c>
    </row>
    <row collapsed="false" customFormat="false" customHeight="false" hidden="false" ht="14.25" outlineLevel="0" r="29">
      <c r="B29" s="69" t="s">
        <v>86</v>
      </c>
      <c r="C29" s="50" t="n">
        <v>1</v>
      </c>
      <c r="D29" s="50" t="n">
        <v>5000</v>
      </c>
      <c r="E29" s="72" t="n">
        <f aca="false">D29*C29</f>
        <v>5000</v>
      </c>
      <c r="F29" s="73" t="s">
        <v>87</v>
      </c>
      <c r="G29" s="50" t="n">
        <v>1</v>
      </c>
      <c r="H29" s="50" t="n">
        <v>660</v>
      </c>
      <c r="I29" s="72" t="n">
        <f aca="false">H29*G29</f>
        <v>660</v>
      </c>
    </row>
    <row collapsed="false" customFormat="false" customHeight="false" hidden="false" ht="14.25" outlineLevel="0" r="30">
      <c r="B30" s="69"/>
      <c r="C30" s="50"/>
      <c r="D30" s="50"/>
      <c r="E30" s="72"/>
      <c r="F30" s="73" t="s">
        <v>88</v>
      </c>
      <c r="G30" s="50" t="n">
        <v>1</v>
      </c>
      <c r="H30" s="50" t="n">
        <v>2000</v>
      </c>
      <c r="I30" s="72" t="n">
        <f aca="false">H30*G30</f>
        <v>2000</v>
      </c>
    </row>
    <row collapsed="false" customFormat="false" customHeight="false" hidden="false" ht="15" outlineLevel="0" r="31">
      <c r="B31" s="74"/>
      <c r="C31" s="75"/>
      <c r="D31" s="75"/>
      <c r="E31" s="76"/>
      <c r="F31" s="77"/>
      <c r="G31" s="78"/>
      <c r="H31" s="78"/>
      <c r="I31" s="76"/>
    </row>
    <row collapsed="false" customFormat="false" customHeight="false" hidden="false" ht="14.25" outlineLevel="0" r="32">
      <c r="A32" s="79"/>
      <c r="B32" s="70" t="s">
        <v>89</v>
      </c>
      <c r="C32" s="80" t="n">
        <f aca="false">SUM(H18+E26+I26)</f>
        <v>37422.0064</v>
      </c>
      <c r="D32" s="80"/>
    </row>
    <row collapsed="false" customFormat="false" customHeight="false" hidden="false" ht="14.25" outlineLevel="0" r="33">
      <c r="A33" s="79"/>
      <c r="B33" s="70"/>
      <c r="C33" s="80"/>
      <c r="D33" s="80"/>
      <c r="E33" s="79"/>
      <c r="F33" s="79"/>
      <c r="G33" s="79"/>
      <c r="H33" s="79"/>
      <c r="I33" s="79"/>
      <c r="J33" s="79"/>
    </row>
  </sheetData>
  <mergeCells count="26">
    <mergeCell ref="B2:E2"/>
    <mergeCell ref="G2:J2"/>
    <mergeCell ref="B7:C8"/>
    <mergeCell ref="D7:E8"/>
    <mergeCell ref="B9:E9"/>
    <mergeCell ref="B10:C10"/>
    <mergeCell ref="D10:E10"/>
    <mergeCell ref="B15:I15"/>
    <mergeCell ref="B16:C16"/>
    <mergeCell ref="D16:G16"/>
    <mergeCell ref="H16:I17"/>
    <mergeCell ref="B17:C17"/>
    <mergeCell ref="D17:G17"/>
    <mergeCell ref="B18:C18"/>
    <mergeCell ref="D18:G18"/>
    <mergeCell ref="H18:I20"/>
    <mergeCell ref="B19:C19"/>
    <mergeCell ref="D19:G19"/>
    <mergeCell ref="B20:C20"/>
    <mergeCell ref="D20:G20"/>
    <mergeCell ref="B22:D25"/>
    <mergeCell ref="E22:E25"/>
    <mergeCell ref="F22:H25"/>
    <mergeCell ref="I22:I25"/>
    <mergeCell ref="B32:B33"/>
    <mergeCell ref="C32:D33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G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E12" activeCellId="0" pane="topLeft" sqref="E12"/>
    </sheetView>
  </sheetViews>
  <sheetFormatPr defaultRowHeight="14.25"/>
  <cols>
    <col collapsed="false" hidden="false" max="2" min="1" style="0" width="8.72959183673469"/>
    <col collapsed="false" hidden="false" max="3" min="3" style="0" width="10.7551020408163"/>
    <col collapsed="false" hidden="false" max="4" min="4" style="0" width="8.72959183673469"/>
    <col collapsed="false" hidden="false" max="5" min="5" style="0" width="11.8775510204082"/>
    <col collapsed="false" hidden="false" max="6" min="6" style="0" width="2.87755102040816"/>
    <col collapsed="false" hidden="false" max="1025" min="7" style="0" width="8.72959183673469"/>
  </cols>
  <sheetData>
    <row collapsed="false" customFormat="false" customHeight="false" hidden="false" ht="14.25" outlineLevel="0" r="2">
      <c r="B2" s="81" t="s">
        <v>90</v>
      </c>
      <c r="C2" s="81"/>
      <c r="D2" s="82" t="s">
        <v>91</v>
      </c>
      <c r="E2" s="82"/>
    </row>
    <row collapsed="false" customFormat="false" customHeight="false" hidden="false" ht="14.25" outlineLevel="0" r="3">
      <c r="B3" s="81"/>
      <c r="C3" s="81"/>
      <c r="D3" s="82"/>
      <c r="E3" s="82"/>
    </row>
    <row collapsed="false" customFormat="false" customHeight="false" hidden="false" ht="14.25" outlineLevel="0" r="4">
      <c r="B4" s="83" t="s">
        <v>92</v>
      </c>
      <c r="C4" s="83"/>
      <c r="D4" s="83" t="n">
        <v>34471.4</v>
      </c>
      <c r="E4" s="83"/>
    </row>
    <row collapsed="false" customFormat="false" customHeight="false" hidden="false" ht="14.25" outlineLevel="0" r="5">
      <c r="B5" s="84" t="s">
        <v>93</v>
      </c>
      <c r="C5" s="84"/>
      <c r="D5" s="84" t="n">
        <v>30660.8</v>
      </c>
      <c r="E5" s="84"/>
      <c r="F5" s="85" t="s">
        <v>62</v>
      </c>
      <c r="G5" s="0" t="s">
        <v>94</v>
      </c>
    </row>
    <row collapsed="false" customFormat="false" customHeight="false" hidden="false" ht="14.25" outlineLevel="0" r="6">
      <c r="B6" s="83" t="s">
        <v>95</v>
      </c>
      <c r="C6" s="83"/>
      <c r="D6" s="86" t="n">
        <v>37422.01</v>
      </c>
      <c r="E6" s="86"/>
    </row>
    <row collapsed="false" customFormat="false" customHeight="false" hidden="false" ht="14.25" outlineLevel="0" r="10">
      <c r="B10" s="0" t="s">
        <v>96</v>
      </c>
    </row>
    <row collapsed="false" customFormat="false" customHeight="false" hidden="false" ht="14.25" outlineLevel="0" r="11">
      <c r="B11" s="87" t="s">
        <v>97</v>
      </c>
      <c r="C11" s="88" t="n">
        <f aca="false">SUM(D5/(SQRT(3)*380*0.92))</f>
        <v>50.6350718923606</v>
      </c>
    </row>
  </sheetData>
  <mergeCells count="8">
    <mergeCell ref="B2:C3"/>
    <mergeCell ref="D2:E3"/>
    <mergeCell ref="B4:C4"/>
    <mergeCell ref="D4:E4"/>
    <mergeCell ref="B5:C5"/>
    <mergeCell ref="D5:E5"/>
    <mergeCell ref="B6:C6"/>
    <mergeCell ref="D6:E6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8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Left" state="frozen" topLeftCell="A3" xSplit="0" ySplit="2"/>
      <selection activeCell="A1" activeCellId="0" pane="topLeft" sqref="A1"/>
      <selection activeCell="M14" activeCellId="0" pane="bottomLeft" sqref="M14"/>
    </sheetView>
  </sheetViews>
  <sheetFormatPr defaultRowHeight="14.25"/>
  <cols>
    <col collapsed="false" hidden="false" max="1" min="1" style="0" width="8.25"/>
    <col collapsed="false" hidden="false" max="2" min="2" style="0" width="7"/>
    <col collapsed="false" hidden="false" max="3" min="3" style="0" width="9.62755102040816"/>
    <col collapsed="false" hidden="false" max="4" min="4" style="0" width="7.75"/>
    <col collapsed="false" hidden="false" max="5" min="5" style="0" width="9.25"/>
    <col collapsed="false" hidden="false" max="6" min="6" style="0" width="7.75"/>
    <col collapsed="false" hidden="false" max="8" min="7" style="0" width="9.37755102040816"/>
    <col collapsed="false" hidden="false" max="10" min="9" style="0" width="8.87244897959184"/>
    <col collapsed="false" hidden="false" max="11" min="11" style="0" width="54.7551020408163"/>
    <col collapsed="false" hidden="false" max="14" min="12" style="0" width="9.12755102040816"/>
    <col collapsed="false" hidden="false" max="1025" min="15" style="89" width="9.12755102040816"/>
  </cols>
  <sheetData>
    <row collapsed="false" customFormat="false" customHeight="true" hidden="false" ht="30.75" outlineLevel="0" r="1">
      <c r="A1" s="90" t="s">
        <v>98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  <c r="M1" s="91"/>
      <c r="N1" s="91"/>
    </row>
    <row collapsed="false" customFormat="false" customHeight="true" hidden="false" ht="20.25" outlineLevel="0" r="2">
      <c r="A2" s="92" t="s">
        <v>99</v>
      </c>
      <c r="B2" s="3" t="s">
        <v>100</v>
      </c>
      <c r="C2" s="92" t="s">
        <v>101</v>
      </c>
      <c r="D2" s="3" t="s">
        <v>102</v>
      </c>
      <c r="E2" s="3"/>
      <c r="F2" s="3" t="s">
        <v>61</v>
      </c>
      <c r="G2" s="3"/>
      <c r="H2" s="3" t="s">
        <v>65</v>
      </c>
      <c r="I2" s="3" t="s">
        <v>103</v>
      </c>
      <c r="J2" s="3" t="s">
        <v>104</v>
      </c>
      <c r="K2" s="3" t="s">
        <v>52</v>
      </c>
      <c r="L2" s="91"/>
      <c r="M2" s="91"/>
      <c r="N2" s="91"/>
    </row>
    <row collapsed="false" customFormat="false" customHeight="true" hidden="false" ht="27" outlineLevel="0" r="3">
      <c r="A3" s="92"/>
      <c r="B3" s="3"/>
      <c r="C3" s="92"/>
      <c r="D3" s="92" t="s">
        <v>105</v>
      </c>
      <c r="E3" s="3" t="s">
        <v>106</v>
      </c>
      <c r="F3" s="3" t="s">
        <v>105</v>
      </c>
      <c r="G3" s="3" t="s">
        <v>106</v>
      </c>
      <c r="H3" s="3" t="s">
        <v>106</v>
      </c>
      <c r="I3" s="3"/>
      <c r="J3" s="3"/>
      <c r="K3" s="3"/>
      <c r="L3" s="91"/>
      <c r="M3" s="91"/>
      <c r="N3" s="91"/>
    </row>
    <row collapsed="false" customFormat="false" customHeight="true" hidden="false" ht="22.5" outlineLevel="0" r="4">
      <c r="A4" s="93" t="n">
        <v>1</v>
      </c>
      <c r="B4" s="94" t="n">
        <v>1.5</v>
      </c>
      <c r="C4" s="94" t="n">
        <v>15</v>
      </c>
      <c r="D4" s="94" t="n">
        <v>13</v>
      </c>
      <c r="E4" s="94" t="n">
        <v>1600</v>
      </c>
      <c r="F4" s="94" t="s">
        <v>44</v>
      </c>
      <c r="G4" s="94" t="s">
        <v>44</v>
      </c>
      <c r="H4" s="94" t="s">
        <v>44</v>
      </c>
      <c r="J4" s="95" t="s">
        <v>107</v>
      </c>
      <c r="K4" s="96" t="s">
        <v>108</v>
      </c>
      <c r="L4" s="91"/>
      <c r="M4" s="91"/>
      <c r="N4" s="91"/>
    </row>
    <row collapsed="false" customFormat="false" customHeight="false" hidden="false" ht="28.35" outlineLevel="0" r="5">
      <c r="A5" s="93" t="n">
        <v>2</v>
      </c>
      <c r="B5" s="94" t="n">
        <v>1.5</v>
      </c>
      <c r="C5" s="94" t="n">
        <v>15</v>
      </c>
      <c r="D5" s="94" t="n">
        <v>12</v>
      </c>
      <c r="E5" s="94" t="n">
        <v>1580</v>
      </c>
      <c r="F5" s="94" t="s">
        <v>44</v>
      </c>
      <c r="G5" s="94" t="s">
        <v>44</v>
      </c>
      <c r="H5" s="94" t="s">
        <v>44</v>
      </c>
      <c r="J5" s="95" t="s">
        <v>109</v>
      </c>
      <c r="K5" s="96" t="s">
        <v>110</v>
      </c>
      <c r="L5" s="91"/>
      <c r="M5" s="91"/>
      <c r="N5" s="91"/>
    </row>
    <row collapsed="false" customFormat="false" customHeight="false" hidden="false" ht="14.25" outlineLevel="0" r="6">
      <c r="A6" s="93" t="n">
        <v>3</v>
      </c>
      <c r="C6" s="94" t="n">
        <v>20</v>
      </c>
      <c r="D6" s="94" t="s">
        <v>44</v>
      </c>
      <c r="E6" s="94" t="s">
        <v>44</v>
      </c>
      <c r="F6" s="94" t="n">
        <v>12</v>
      </c>
      <c r="G6" s="94" t="n">
        <v>1760</v>
      </c>
      <c r="H6" s="94" t="s">
        <v>44</v>
      </c>
      <c r="J6" s="95" t="s">
        <v>109</v>
      </c>
      <c r="K6" s="96" t="s">
        <v>111</v>
      </c>
      <c r="L6" s="91"/>
      <c r="M6" s="91"/>
      <c r="N6" s="91"/>
    </row>
    <row collapsed="false" customFormat="false" customHeight="false" hidden="false" ht="14.9" outlineLevel="0" r="7">
      <c r="A7" s="93" t="n">
        <v>4</v>
      </c>
      <c r="C7" s="94" t="n">
        <v>20</v>
      </c>
      <c r="D7" s="94" t="s">
        <v>44</v>
      </c>
      <c r="E7" s="94" t="s">
        <v>44</v>
      </c>
      <c r="F7" s="94" t="n">
        <v>10</v>
      </c>
      <c r="G7" s="94" t="n">
        <v>800</v>
      </c>
      <c r="H7" s="94" t="s">
        <v>44</v>
      </c>
      <c r="J7" s="95" t="s">
        <v>107</v>
      </c>
      <c r="K7" s="96" t="s">
        <v>112</v>
      </c>
      <c r="L7" s="91"/>
      <c r="M7" s="91"/>
      <c r="N7" s="91"/>
    </row>
    <row collapsed="false" customFormat="false" customHeight="false" hidden="false" ht="14.9" outlineLevel="0" r="8">
      <c r="A8" s="93" t="n">
        <v>5</v>
      </c>
      <c r="C8" s="94" t="n">
        <v>20</v>
      </c>
      <c r="D8" s="94" t="s">
        <v>44</v>
      </c>
      <c r="E8" s="94" t="s">
        <v>44</v>
      </c>
      <c r="F8" s="94" t="n">
        <v>10</v>
      </c>
      <c r="G8" s="94" t="n">
        <v>800</v>
      </c>
      <c r="H8" s="94" t="s">
        <v>44</v>
      </c>
      <c r="J8" s="95" t="s">
        <v>109</v>
      </c>
      <c r="K8" s="96" t="s">
        <v>113</v>
      </c>
    </row>
    <row collapsed="false" customFormat="false" customHeight="false" hidden="false" ht="14.9" outlineLevel="0" r="9">
      <c r="A9" s="93" t="n">
        <v>6</v>
      </c>
      <c r="C9" s="94" t="n">
        <v>20</v>
      </c>
      <c r="D9" s="94" t="s">
        <v>44</v>
      </c>
      <c r="E9" s="94" t="s">
        <v>44</v>
      </c>
      <c r="F9" s="94" t="n">
        <v>8</v>
      </c>
      <c r="G9" s="94" t="n">
        <v>1040</v>
      </c>
      <c r="H9" s="94" t="s">
        <v>44</v>
      </c>
      <c r="J9" s="95" t="s">
        <v>107</v>
      </c>
      <c r="K9" s="96" t="s">
        <v>114</v>
      </c>
    </row>
    <row collapsed="false" customFormat="false" customHeight="true" hidden="false" ht="14.25" outlineLevel="0" r="10">
      <c r="A10" s="93" t="n">
        <v>7</v>
      </c>
      <c r="C10" s="94" t="n">
        <v>20</v>
      </c>
      <c r="D10" s="94" t="s">
        <v>44</v>
      </c>
      <c r="E10" s="94" t="s">
        <v>44</v>
      </c>
      <c r="F10" s="94" t="n">
        <v>12</v>
      </c>
      <c r="G10" s="94" t="n">
        <v>1680</v>
      </c>
      <c r="H10" s="94" t="s">
        <v>44</v>
      </c>
      <c r="J10" s="95" t="s">
        <v>115</v>
      </c>
      <c r="K10" s="96" t="s">
        <v>116</v>
      </c>
    </row>
    <row collapsed="false" customFormat="false" customHeight="false" hidden="false" ht="14.9" outlineLevel="0" r="11">
      <c r="A11" s="93" t="n">
        <v>8</v>
      </c>
      <c r="C11" s="94" t="n">
        <v>20</v>
      </c>
      <c r="D11" s="94" t="s">
        <v>44</v>
      </c>
      <c r="E11" s="94" t="s">
        <v>44</v>
      </c>
      <c r="F11" s="94" t="n">
        <v>5</v>
      </c>
      <c r="G11" s="94" t="n">
        <v>560</v>
      </c>
      <c r="H11" s="94" t="s">
        <v>44</v>
      </c>
      <c r="J11" s="95" t="s">
        <v>109</v>
      </c>
      <c r="K11" s="96" t="s">
        <v>117</v>
      </c>
    </row>
    <row collapsed="false" customFormat="false" customHeight="false" hidden="false" ht="14.9" outlineLevel="0" r="12">
      <c r="A12" s="93" t="n">
        <v>9</v>
      </c>
      <c r="D12" s="94" t="s">
        <v>44</v>
      </c>
      <c r="E12" s="94" t="s">
        <v>44</v>
      </c>
      <c r="F12" s="94" t="s">
        <v>44</v>
      </c>
      <c r="G12" s="94" t="s">
        <v>44</v>
      </c>
      <c r="H12" s="94" t="n">
        <v>1200</v>
      </c>
      <c r="J12" s="97" t="s">
        <v>107</v>
      </c>
      <c r="K12" s="96" t="s">
        <v>118</v>
      </c>
    </row>
    <row collapsed="false" customFormat="false" customHeight="false" hidden="false" ht="14.25" outlineLevel="0" r="13">
      <c r="A13" s="93" t="n">
        <v>10</v>
      </c>
      <c r="D13" s="94" t="s">
        <v>44</v>
      </c>
      <c r="E13" s="94" t="s">
        <v>44</v>
      </c>
      <c r="F13" s="94" t="s">
        <v>44</v>
      </c>
      <c r="G13" s="94" t="s">
        <v>44</v>
      </c>
      <c r="H13" s="94" t="n">
        <v>6000</v>
      </c>
      <c r="J13" s="97" t="s">
        <v>115</v>
      </c>
      <c r="K13" s="96" t="s">
        <v>119</v>
      </c>
    </row>
    <row collapsed="false" customFormat="false" customHeight="false" hidden="false" ht="14.25" outlineLevel="0" r="14">
      <c r="A14" s="93" t="n">
        <v>11</v>
      </c>
      <c r="D14" s="94" t="s">
        <v>44</v>
      </c>
      <c r="E14" s="94" t="s">
        <v>44</v>
      </c>
      <c r="F14" s="94" t="s">
        <v>44</v>
      </c>
      <c r="G14" s="94" t="s">
        <v>44</v>
      </c>
      <c r="H14" s="94" t="n">
        <v>1200</v>
      </c>
      <c r="J14" s="97" t="s">
        <v>107</v>
      </c>
      <c r="K14" s="96" t="s">
        <v>120</v>
      </c>
    </row>
    <row collapsed="false" customFormat="false" customHeight="false" hidden="false" ht="14.9" outlineLevel="0" r="15">
      <c r="A15" s="93" t="n">
        <v>12</v>
      </c>
      <c r="D15" s="94" t="s">
        <v>44</v>
      </c>
      <c r="E15" s="94" t="s">
        <v>44</v>
      </c>
      <c r="F15" s="94" t="s">
        <v>44</v>
      </c>
      <c r="G15" s="94" t="s">
        <v>44</v>
      </c>
      <c r="H15" s="94" t="n">
        <v>6000</v>
      </c>
      <c r="J15" s="97" t="s">
        <v>107</v>
      </c>
      <c r="K15" s="96" t="s">
        <v>121</v>
      </c>
    </row>
    <row collapsed="false" customFormat="false" customHeight="false" hidden="false" ht="14.25" outlineLevel="0" r="16">
      <c r="A16" s="93" t="n">
        <v>13</v>
      </c>
      <c r="D16" s="94" t="s">
        <v>44</v>
      </c>
      <c r="E16" s="94" t="s">
        <v>44</v>
      </c>
      <c r="F16" s="94" t="s">
        <v>44</v>
      </c>
      <c r="G16" s="94" t="s">
        <v>44</v>
      </c>
      <c r="H16" s="94" t="n">
        <v>1200</v>
      </c>
      <c r="J16" s="97" t="s">
        <v>115</v>
      </c>
      <c r="K16" s="96" t="s">
        <v>122</v>
      </c>
    </row>
    <row collapsed="false" customFormat="false" customHeight="false" hidden="false" ht="14.9" outlineLevel="0" r="17">
      <c r="A17" s="93" t="n">
        <v>14</v>
      </c>
      <c r="D17" s="94" t="s">
        <v>44</v>
      </c>
      <c r="E17" s="94" t="s">
        <v>44</v>
      </c>
      <c r="F17" s="94" t="s">
        <v>44</v>
      </c>
      <c r="G17" s="94" t="s">
        <v>44</v>
      </c>
      <c r="H17" s="94" t="n">
        <v>1200</v>
      </c>
      <c r="J17" s="97" t="s">
        <v>109</v>
      </c>
      <c r="K17" s="96" t="s">
        <v>123</v>
      </c>
    </row>
    <row collapsed="false" customFormat="false" customHeight="false" hidden="false" ht="14.25" outlineLevel="0" r="18">
      <c r="A18" s="93" t="n">
        <v>15</v>
      </c>
      <c r="D18" s="94" t="s">
        <v>44</v>
      </c>
      <c r="E18" s="94" t="s">
        <v>44</v>
      </c>
      <c r="F18" s="94" t="s">
        <v>44</v>
      </c>
      <c r="G18" s="94" t="s">
        <v>44</v>
      </c>
      <c r="H18" s="94" t="n">
        <v>6000</v>
      </c>
      <c r="J18" s="97" t="s">
        <v>109</v>
      </c>
      <c r="K18" s="96" t="s">
        <v>124</v>
      </c>
    </row>
    <row collapsed="false" customFormat="false" customHeight="false" hidden="false" ht="14.9" outlineLevel="0" r="19">
      <c r="A19" s="93" t="n">
        <v>16</v>
      </c>
      <c r="D19" s="94" t="s">
        <v>44</v>
      </c>
      <c r="E19" s="94" t="s">
        <v>44</v>
      </c>
      <c r="F19" s="94" t="s">
        <v>44</v>
      </c>
      <c r="G19" s="94" t="s">
        <v>44</v>
      </c>
      <c r="H19" s="94" t="n">
        <v>2020</v>
      </c>
      <c r="J19" s="97" t="s">
        <v>107</v>
      </c>
      <c r="K19" s="96" t="s">
        <v>125</v>
      </c>
    </row>
    <row collapsed="false" customFormat="false" customHeight="false" hidden="false" ht="14.9" outlineLevel="0" r="20">
      <c r="A20" s="93" t="n">
        <v>17</v>
      </c>
      <c r="D20" s="94" t="s">
        <v>44</v>
      </c>
      <c r="E20" s="94" t="s">
        <v>44</v>
      </c>
      <c r="F20" s="94" t="s">
        <v>44</v>
      </c>
      <c r="G20" s="94" t="s">
        <v>44</v>
      </c>
      <c r="H20" s="94" t="n">
        <v>2000</v>
      </c>
      <c r="J20" s="97" t="s">
        <v>109</v>
      </c>
      <c r="K20" s="96" t="s">
        <v>126</v>
      </c>
    </row>
    <row collapsed="false" customFormat="false" customHeight="false" hidden="false" ht="14.9" outlineLevel="0" r="21">
      <c r="A21" s="93" t="n">
        <v>18</v>
      </c>
      <c r="D21" s="94" t="s">
        <v>44</v>
      </c>
      <c r="E21" s="94" t="s">
        <v>44</v>
      </c>
      <c r="F21" s="94" t="s">
        <v>44</v>
      </c>
      <c r="G21" s="94" t="s">
        <v>44</v>
      </c>
      <c r="H21" s="94" t="n">
        <v>5000</v>
      </c>
      <c r="J21" s="97" t="s">
        <v>115</v>
      </c>
      <c r="K21" s="96" t="s">
        <v>127</v>
      </c>
    </row>
    <row collapsed="false" customFormat="false" customHeight="false" hidden="false" ht="14.25" outlineLevel="0" r="22">
      <c r="A22" s="93" t="n">
        <v>19</v>
      </c>
      <c r="D22" s="94" t="s">
        <v>44</v>
      </c>
      <c r="E22" s="94" t="s">
        <v>44</v>
      </c>
      <c r="F22" s="94" t="s">
        <v>44</v>
      </c>
      <c r="G22" s="94" t="s">
        <v>44</v>
      </c>
      <c r="H22" s="94" t="s">
        <v>44</v>
      </c>
      <c r="J22" s="97" t="s">
        <v>115</v>
      </c>
      <c r="K22" s="94" t="s">
        <v>128</v>
      </c>
    </row>
    <row collapsed="false" customFormat="false" customHeight="false" hidden="false" ht="14.25" outlineLevel="0" r="23">
      <c r="A23" s="93" t="n">
        <v>20</v>
      </c>
      <c r="D23" s="94" t="s">
        <v>44</v>
      </c>
      <c r="E23" s="94" t="s">
        <v>44</v>
      </c>
      <c r="F23" s="94" t="s">
        <v>44</v>
      </c>
      <c r="G23" s="94" t="s">
        <v>44</v>
      </c>
      <c r="H23" s="94" t="s">
        <v>44</v>
      </c>
      <c r="J23" s="97" t="s">
        <v>107</v>
      </c>
      <c r="K23" s="94" t="s">
        <v>129</v>
      </c>
    </row>
    <row collapsed="false" customFormat="false" customHeight="false" hidden="false" ht="14.25" outlineLevel="0" r="24">
      <c r="A24" s="93" t="n">
        <v>21</v>
      </c>
      <c r="D24" s="94" t="s">
        <v>44</v>
      </c>
      <c r="E24" s="94" t="s">
        <v>44</v>
      </c>
      <c r="F24" s="94" t="s">
        <v>44</v>
      </c>
      <c r="G24" s="94" t="s">
        <v>44</v>
      </c>
      <c r="H24" s="94" t="s">
        <v>44</v>
      </c>
      <c r="J24" s="97" t="s">
        <v>109</v>
      </c>
      <c r="K24" s="94" t="s">
        <v>130</v>
      </c>
    </row>
    <row collapsed="false" customFormat="false" customHeight="false" hidden="false" ht="14.9" outlineLevel="0" r="25">
      <c r="A25" s="93"/>
      <c r="I25" s="0" t="s">
        <v>131</v>
      </c>
      <c r="J25" s="97"/>
    </row>
    <row collapsed="false" customFormat="false" customHeight="false" hidden="false" ht="14.25" outlineLevel="0" r="26">
      <c r="A26" s="93"/>
      <c r="H26" s="0" t="s">
        <v>115</v>
      </c>
      <c r="I26" s="0" t="s">
        <v>132</v>
      </c>
      <c r="J26" s="97"/>
    </row>
    <row collapsed="false" customFormat="false" customHeight="false" hidden="false" ht="14.05" outlineLevel="0" r="27">
      <c r="A27" s="93"/>
      <c r="H27" s="0" t="s">
        <v>107</v>
      </c>
      <c r="I27" s="0" t="s">
        <v>133</v>
      </c>
      <c r="J27" s="97"/>
    </row>
    <row collapsed="false" customFormat="false" customHeight="false" hidden="false" ht="14.25" outlineLevel="0" r="28">
      <c r="A28" s="93"/>
      <c r="H28" s="0" t="s">
        <v>109</v>
      </c>
      <c r="I28" s="0" t="s">
        <v>134</v>
      </c>
      <c r="J28" s="97"/>
    </row>
  </sheetData>
  <mergeCells count="9">
    <mergeCell ref="A1:K1"/>
    <mergeCell ref="A2:A3"/>
    <mergeCell ref="B2:B3"/>
    <mergeCell ref="C2:C3"/>
    <mergeCell ref="D2:E2"/>
    <mergeCell ref="F2:G2"/>
    <mergeCell ref="I2:I3"/>
    <mergeCell ref="J2:J3"/>
    <mergeCell ref="K2:K3"/>
  </mergeCells>
  <dataValidations count="1">
    <dataValidation allowBlank="true" operator="between" showDropDown="false" showErrorMessage="true" showInputMessage="true" sqref="J4:J28" type="list">
      <formula1>"A,B,C"</formula1>
      <formula2>0</formula2>
    </dataValidation>
  </dataValidations>
  <printOptions headings="false" gridLines="false" gridLinesSet="true" horizontalCentered="true" verticalCentered="true"/>
  <pageMargins left="0.39375" right="0.39375" top="0.590277777777778" bottom="0.590277777777778" header="0.511805555555555" footer="0.511805555555555"/>
  <pageSetup blackAndWhite="false" cellComments="none" copies="1" draft="false" firstPageNumber="0" fitToHeight="1" fitToWidth="1" horizontalDpi="300" orientation="landscape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"/>
  <sheetViews>
    <sheetView colorId="64" defaultGridColor="true" rightToLeft="false" showFormulas="false" showGridLines="true" showOutlineSymbols="true" showRowColHeaders="true" showZeros="true" tabSelected="false" topLeftCell="A22" view="normal" windowProtection="false" workbookViewId="0" zoomScale="130" zoomScaleNormal="130" zoomScalePageLayoutView="100">
      <selection activeCell="G17" activeCellId="0" pane="topLeft" sqref="G17"/>
    </sheetView>
  </sheetViews>
  <sheetFormatPr defaultRowHeight="14.25"/>
  <cols>
    <col collapsed="false" hidden="false" max="1" min="1" style="0" width="19.25"/>
    <col collapsed="false" hidden="false" max="2" min="2" style="0" width="20.7551020408163"/>
    <col collapsed="false" hidden="false" max="3" min="3" style="0" width="8.87244897959184"/>
    <col collapsed="false" hidden="false" max="4" min="4" style="0" width="36.6275510204082"/>
    <col collapsed="false" hidden="false" max="5" min="5" style="0" width="35"/>
    <col collapsed="false" hidden="false" max="1025" min="6" style="94" width="9.12755102040816"/>
  </cols>
  <sheetData>
    <row collapsed="false" customFormat="false" customHeight="true" hidden="false" ht="60" outlineLevel="0" r="1">
      <c r="A1" s="98" t="s">
        <v>135</v>
      </c>
      <c r="B1" s="98"/>
      <c r="C1" s="99"/>
      <c r="D1" s="98" t="s">
        <v>136</v>
      </c>
      <c r="E1" s="100" t="s">
        <v>137</v>
      </c>
    </row>
    <row collapsed="false" customFormat="false" customHeight="false" hidden="false" ht="14.25" outlineLevel="0" r="2">
      <c r="A2" s="101" t="s">
        <v>138</v>
      </c>
      <c r="B2" s="101" t="s">
        <v>139</v>
      </c>
    </row>
    <row collapsed="false" customFormat="false" customHeight="true" hidden="false" ht="15" outlineLevel="0" r="3">
      <c r="A3" s="101" t="s">
        <v>140</v>
      </c>
      <c r="B3" s="101" t="n">
        <v>88</v>
      </c>
      <c r="D3" s="98" t="s">
        <v>141</v>
      </c>
      <c r="E3" s="98" t="s">
        <v>142</v>
      </c>
    </row>
    <row collapsed="false" customFormat="false" customHeight="false" hidden="false" ht="14.25" outlineLevel="0" r="4">
      <c r="A4" s="101" t="s">
        <v>143</v>
      </c>
      <c r="B4" s="101" t="n">
        <v>75</v>
      </c>
      <c r="D4" s="98"/>
      <c r="E4" s="98"/>
    </row>
    <row collapsed="false" customFormat="false" customHeight="false" hidden="false" ht="14.25" outlineLevel="0" r="5">
      <c r="A5" s="101" t="s">
        <v>144</v>
      </c>
      <c r="B5" s="101" t="n">
        <v>66</v>
      </c>
      <c r="D5" s="98"/>
      <c r="E5" s="98"/>
    </row>
    <row collapsed="false" customFormat="false" customHeight="false" hidden="false" ht="14.25" outlineLevel="0" r="6">
      <c r="A6" s="101" t="s">
        <v>145</v>
      </c>
      <c r="B6" s="101" t="n">
        <v>59</v>
      </c>
      <c r="D6" s="98"/>
      <c r="E6" s="98"/>
    </row>
    <row collapsed="false" customFormat="false" customHeight="false" hidden="false" ht="14.25" outlineLevel="0" r="7">
      <c r="A7" s="101" t="s">
        <v>146</v>
      </c>
      <c r="B7" s="101" t="n">
        <v>52</v>
      </c>
      <c r="D7" s="98"/>
      <c r="E7" s="98"/>
    </row>
    <row collapsed="false" customFormat="false" customHeight="false" hidden="false" ht="14.25" outlineLevel="0" r="8">
      <c r="A8" s="101" t="s">
        <v>147</v>
      </c>
      <c r="B8" s="101" t="n">
        <v>45</v>
      </c>
    </row>
    <row collapsed="false" customFormat="false" customHeight="true" hidden="false" ht="15" outlineLevel="0" r="9">
      <c r="A9" s="101" t="s">
        <v>148</v>
      </c>
      <c r="B9" s="101" t="n">
        <v>40</v>
      </c>
      <c r="D9" s="98" t="s">
        <v>149</v>
      </c>
      <c r="E9" s="98" t="s">
        <v>150</v>
      </c>
    </row>
    <row collapsed="false" customFormat="false" customHeight="false" hidden="false" ht="14.25" outlineLevel="0" r="10">
      <c r="A10" s="101" t="s">
        <v>151</v>
      </c>
      <c r="B10" s="101" t="n">
        <v>35</v>
      </c>
      <c r="D10" s="98"/>
      <c r="E10" s="98"/>
    </row>
    <row collapsed="false" customFormat="false" customHeight="false" hidden="false" ht="14.25" outlineLevel="0" r="11">
      <c r="A11" s="101" t="s">
        <v>152</v>
      </c>
      <c r="B11" s="101" t="n">
        <v>31</v>
      </c>
      <c r="D11" s="98"/>
      <c r="E11" s="98"/>
    </row>
    <row collapsed="false" customFormat="false" customHeight="false" hidden="false" ht="14.25" outlineLevel="0" r="12">
      <c r="A12" s="101" t="s">
        <v>153</v>
      </c>
      <c r="B12" s="101" t="n">
        <v>27</v>
      </c>
      <c r="D12" s="98"/>
      <c r="E12" s="98"/>
    </row>
    <row collapsed="false" customFormat="false" customHeight="false" hidden="false" ht="14.25" outlineLevel="0" r="13">
      <c r="A13" s="101" t="s">
        <v>154</v>
      </c>
      <c r="B13" s="101" t="n">
        <v>24</v>
      </c>
    </row>
    <row collapsed="false" customFormat="false" customHeight="true" hidden="false" ht="30.75" outlineLevel="0" r="16">
      <c r="A16" s="98" t="s">
        <v>155</v>
      </c>
      <c r="B16" s="98"/>
      <c r="C16" s="98"/>
    </row>
    <row collapsed="false" customFormat="false" customHeight="false" hidden="false" ht="42.75" outlineLevel="0" r="17">
      <c r="A17" s="101" t="s">
        <v>156</v>
      </c>
      <c r="B17" s="101" t="s">
        <v>157</v>
      </c>
      <c r="C17" s="101" t="s">
        <v>158</v>
      </c>
    </row>
    <row collapsed="false" customFormat="false" customHeight="false" hidden="false" ht="57" outlineLevel="0" r="18">
      <c r="A18" s="101" t="s">
        <v>159</v>
      </c>
      <c r="B18" s="101" t="s">
        <v>160</v>
      </c>
      <c r="C18" s="101" t="s">
        <v>161</v>
      </c>
    </row>
  </sheetData>
  <mergeCells count="6">
    <mergeCell ref="A1:B1"/>
    <mergeCell ref="D3:D7"/>
    <mergeCell ref="E3:E7"/>
    <mergeCell ref="D9:D12"/>
    <mergeCell ref="E9:E12"/>
    <mergeCell ref="A16:C16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2014-03-20T15:42:00Z</dcterms:created>
  <dc:creator>PEDRO ARAUJO MEDEIROS</dc:creator>
  <cp:lastModifiedBy>HP</cp:lastModifiedBy>
  <cp:lastPrinted>2014-04-13T19:26:33Z</cp:lastPrinted>
  <dcterms:modified xsi:type="dcterms:W3CDTF">2015-04-29T01:59:25Z</dcterms:modified>
  <cp:revision>0</cp:revision>
</cp:coreProperties>
</file>