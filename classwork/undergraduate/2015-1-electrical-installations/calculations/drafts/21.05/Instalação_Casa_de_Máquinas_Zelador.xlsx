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/>
  </bookViews>
  <sheets>
    <sheet name="Qtd_minima" sheetId="2" r:id="rId1"/>
    <sheet name="Circuitos" sheetId="4" r:id="rId2"/>
  </sheets>
  <definedNames>
    <definedName name="_xlnm.Print_Titles" localSheetId="0">Qtd_minima!$1:$3</definedName>
  </definedNames>
  <calcPr calcId="144525"/>
</workbook>
</file>

<file path=xl/calcChain.xml><?xml version="1.0" encoding="utf-8"?>
<calcChain xmlns="http://schemas.openxmlformats.org/spreadsheetml/2006/main">
  <c r="A8" i="4" l="1"/>
  <c r="M4" i="4"/>
  <c r="L4" i="4"/>
  <c r="I8" i="2"/>
  <c r="H8" i="2"/>
  <c r="G8" i="2"/>
  <c r="F8" i="2"/>
  <c r="E8" i="2"/>
  <c r="D8" i="2"/>
  <c r="C8" i="2"/>
  <c r="B8" i="2"/>
</calcChain>
</file>

<file path=xl/sharedStrings.xml><?xml version="1.0" encoding="utf-8"?>
<sst xmlns="http://schemas.openxmlformats.org/spreadsheetml/2006/main" count="61" uniqueCount="41">
  <si>
    <t>Descrição</t>
  </si>
  <si>
    <t>TUG</t>
  </si>
  <si>
    <t>TUE</t>
  </si>
  <si>
    <t>INSTALAÇÃO MÍNIMA</t>
  </si>
  <si>
    <t>Dependencias</t>
  </si>
  <si>
    <t>Dimensões</t>
  </si>
  <si>
    <t>Iluminação</t>
  </si>
  <si>
    <t>TUGs</t>
  </si>
  <si>
    <t>TUEs</t>
  </si>
  <si>
    <t>Observação</t>
  </si>
  <si>
    <t>Área (m2)</t>
  </si>
  <si>
    <t>Perímetro (m)</t>
  </si>
  <si>
    <t>Qtd.</t>
  </si>
  <si>
    <t>Potência (VA)</t>
  </si>
  <si>
    <t>Potência(VA)</t>
  </si>
  <si>
    <t>Potência(W)</t>
  </si>
  <si>
    <t>Casa de Máquinas</t>
  </si>
  <si>
    <t>Motores</t>
  </si>
  <si>
    <t>Chuveiro</t>
  </si>
  <si>
    <t>Total</t>
  </si>
  <si>
    <t>-</t>
  </si>
  <si>
    <t>CIRCUITOS DA INSTALAÇÃO</t>
  </si>
  <si>
    <t>Potência por fase (W)</t>
  </si>
  <si>
    <t>Nº do Circuito</t>
  </si>
  <si>
    <t>Secção</t>
  </si>
  <si>
    <t>Corrente Nominal (A)</t>
  </si>
  <si>
    <t>Pontos de Luz</t>
  </si>
  <si>
    <t>Proteção</t>
  </si>
  <si>
    <t>Fase</t>
  </si>
  <si>
    <t>Quant</t>
  </si>
  <si>
    <t>P (W)</t>
  </si>
  <si>
    <t>A</t>
  </si>
  <si>
    <t>B</t>
  </si>
  <si>
    <t>C</t>
  </si>
  <si>
    <t>Motor 1 Elevador 1</t>
  </si>
  <si>
    <t>Motor 2 Elevador 2</t>
  </si>
  <si>
    <t>Chuveiro BWC</t>
  </si>
  <si>
    <t>Quarto Zelador</t>
  </si>
  <si>
    <t>BWC Zelador</t>
  </si>
  <si>
    <t>Comodo Zelador</t>
  </si>
  <si>
    <t>Maquina de Lavar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</si>
</sst>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6"/>
      <name val="Calibri"/>
      <family val="2"/>
      <charset val="1"/>
    </font>
    <font>
      <b/>
      <sz val="14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AC090"/>
        <bgColor rgb="FFFF99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2" borderId="1"/>
  </cellStyleXfs>
  <cellXfs count="33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5" borderId="0" xfId="0" applyFill="1"/>
    <xf numFmtId="0" fontId="0" fillId="2" borderId="3" xfId="1" applyFont="1" applyBorder="1" applyAlignment="1" applyProtection="1">
      <alignment horizontal="center" wrapText="1"/>
    </xf>
    <xf numFmtId="2" fontId="0" fillId="2" borderId="3" xfId="1" applyNumberFormat="1" applyFont="1" applyBorder="1" applyAlignment="1" applyProtection="1">
      <alignment horizont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2" borderId="3" xfId="1" applyFont="1" applyBorder="1" applyAlignment="1" applyProtection="1">
      <alignment wrapText="1"/>
    </xf>
    <xf numFmtId="0" fontId="2" fillId="2" borderId="5" xfId="1" applyFont="1" applyBorder="1" applyAlignment="1" applyProtection="1">
      <alignment wrapText="1"/>
    </xf>
    <xf numFmtId="2" fontId="2" fillId="2" borderId="5" xfId="1" applyNumberFormat="1" applyFont="1" applyBorder="1" applyAlignment="1" applyProtection="1">
      <alignment horizontal="center" wrapText="1"/>
    </xf>
    <xf numFmtId="0" fontId="2" fillId="2" borderId="5" xfId="1" applyFont="1" applyBorder="1" applyAlignment="1" applyProtection="1">
      <alignment horizont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/>
    </xf>
    <xf numFmtId="0" fontId="0" fillId="5" borderId="0" xfId="0" applyFill="1" applyAlignment="1"/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Font="1"/>
    <xf numFmtId="0" fontId="0" fillId="4" borderId="3" xfId="0" applyFill="1" applyBorder="1" applyAlignment="1"/>
    <xf numFmtId="0" fontId="0" fillId="5" borderId="0" xfId="0" applyFill="1" applyBorder="1" applyAlignment="1"/>
    <xf numFmtId="0" fontId="6" fillId="0" borderId="0" xfId="0" applyFont="1"/>
    <xf numFmtId="0" fontId="3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5" fillId="2" borderId="3" xfId="1" applyFont="1" applyBorder="1" applyAlignment="1" applyProtection="1">
      <alignment wrapText="1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8"/>
  <sheetViews>
    <sheetView tabSelected="1" zoomScale="115" zoomScaleNormal="115" workbookViewId="0">
      <pane ySplit="3" topLeftCell="A4" activePane="bottomLeft" state="frozen"/>
      <selection pane="bottomLeft" activeCell="E16" sqref="E16"/>
    </sheetView>
  </sheetViews>
  <sheetFormatPr defaultRowHeight="15" x14ac:dyDescent="0.25"/>
  <cols>
    <col min="1" max="1" width="20.7109375"/>
    <col min="2" max="2" width="9.85546875"/>
    <col min="3" max="3" width="13.140625"/>
    <col min="4" max="4" width="5.7109375"/>
    <col min="5" max="5" width="13.28515625"/>
    <col min="6" max="6" width="5.7109375"/>
    <col min="7" max="7" width="12.7109375"/>
    <col min="8" max="8" width="5.7109375"/>
    <col min="9" max="9" width="12"/>
    <col min="10" max="10" width="23.7109375"/>
    <col min="11" max="1025" width="9.140625" style="5"/>
  </cols>
  <sheetData>
    <row r="1" spans="1:10" ht="30.75" customHeight="1" x14ac:dyDescent="0.25">
      <c r="A1" s="27" t="s">
        <v>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25">
      <c r="A2" s="2" t="s">
        <v>4</v>
      </c>
      <c r="B2" s="28" t="s">
        <v>5</v>
      </c>
      <c r="C2" s="28"/>
      <c r="D2" s="1" t="s">
        <v>6</v>
      </c>
      <c r="E2" s="1"/>
      <c r="F2" s="1" t="s">
        <v>7</v>
      </c>
      <c r="G2" s="1"/>
      <c r="H2" s="1" t="s">
        <v>8</v>
      </c>
      <c r="I2" s="1"/>
      <c r="J2" s="1" t="s">
        <v>9</v>
      </c>
    </row>
    <row r="3" spans="1:10" x14ac:dyDescent="0.25">
      <c r="A3" s="2"/>
      <c r="B3" s="3" t="s">
        <v>10</v>
      </c>
      <c r="C3" s="3" t="s">
        <v>11</v>
      </c>
      <c r="D3" s="3" t="s">
        <v>12</v>
      </c>
      <c r="E3" s="3" t="s">
        <v>13</v>
      </c>
      <c r="F3" s="3" t="s">
        <v>12</v>
      </c>
      <c r="G3" s="3" t="s">
        <v>14</v>
      </c>
      <c r="H3" s="4" t="s">
        <v>12</v>
      </c>
      <c r="I3" s="4" t="s">
        <v>15</v>
      </c>
      <c r="J3" s="1"/>
    </row>
    <row r="4" spans="1:10" x14ac:dyDescent="0.25">
      <c r="A4" s="32" t="s">
        <v>16</v>
      </c>
      <c r="B4" s="6">
        <v>11.24</v>
      </c>
      <c r="C4" s="7">
        <v>13.7</v>
      </c>
      <c r="D4" s="6">
        <v>2</v>
      </c>
      <c r="E4" s="6">
        <v>200</v>
      </c>
      <c r="F4" s="6">
        <v>3</v>
      </c>
      <c r="G4" s="6">
        <v>300</v>
      </c>
      <c r="H4" s="8">
        <v>2</v>
      </c>
      <c r="I4" s="9">
        <v>22080</v>
      </c>
      <c r="J4" s="10" t="s">
        <v>17</v>
      </c>
    </row>
    <row r="5" spans="1:10" x14ac:dyDescent="0.25">
      <c r="A5" s="32" t="s">
        <v>37</v>
      </c>
      <c r="B5" s="6">
        <v>5.05</v>
      </c>
      <c r="C5" s="7">
        <v>9.0299999999999994</v>
      </c>
      <c r="D5" s="6">
        <v>1</v>
      </c>
      <c r="E5" s="6">
        <v>100</v>
      </c>
      <c r="F5" s="6">
        <v>2</v>
      </c>
      <c r="G5" s="6">
        <v>200</v>
      </c>
      <c r="H5" s="8"/>
      <c r="I5" s="9"/>
      <c r="J5" s="11"/>
    </row>
    <row r="6" spans="1:10" x14ac:dyDescent="0.25">
      <c r="A6" s="12" t="s">
        <v>38</v>
      </c>
      <c r="B6" s="6">
        <v>2.4700000000000002</v>
      </c>
      <c r="C6" s="6">
        <v>6.3</v>
      </c>
      <c r="D6" s="6">
        <v>1</v>
      </c>
      <c r="E6" s="6">
        <v>100</v>
      </c>
      <c r="F6" s="6">
        <v>1</v>
      </c>
      <c r="G6" s="6">
        <v>100</v>
      </c>
      <c r="H6" s="8">
        <v>1</v>
      </c>
      <c r="I6" s="9">
        <v>6000</v>
      </c>
      <c r="J6" s="10" t="s">
        <v>18</v>
      </c>
    </row>
    <row r="7" spans="1:10" x14ac:dyDescent="0.25">
      <c r="A7" s="12" t="s">
        <v>39</v>
      </c>
      <c r="B7" s="6">
        <v>13.4</v>
      </c>
      <c r="C7" s="6">
        <v>18.3</v>
      </c>
      <c r="D7" s="6">
        <v>2</v>
      </c>
      <c r="E7" s="6">
        <v>220</v>
      </c>
      <c r="F7" s="6">
        <v>3</v>
      </c>
      <c r="G7" s="6">
        <v>800</v>
      </c>
      <c r="H7" s="8"/>
      <c r="I7" s="9">
        <v>660</v>
      </c>
      <c r="J7" s="9" t="s">
        <v>40</v>
      </c>
    </row>
    <row r="8" spans="1:10" x14ac:dyDescent="0.25">
      <c r="A8" s="13" t="s">
        <v>19</v>
      </c>
      <c r="B8" s="14">
        <f t="shared" ref="B8:I8" si="0">SUM(B4:B7)</f>
        <v>32.159999999999997</v>
      </c>
      <c r="C8" s="14">
        <f t="shared" si="0"/>
        <v>47.33</v>
      </c>
      <c r="D8" s="15">
        <f t="shared" si="0"/>
        <v>6</v>
      </c>
      <c r="E8" s="15">
        <f t="shared" si="0"/>
        <v>620</v>
      </c>
      <c r="F8" s="15">
        <f t="shared" si="0"/>
        <v>9</v>
      </c>
      <c r="G8" s="15">
        <f t="shared" si="0"/>
        <v>1400</v>
      </c>
      <c r="H8" s="16">
        <f t="shared" si="0"/>
        <v>3</v>
      </c>
      <c r="I8" s="17">
        <f t="shared" si="0"/>
        <v>28740</v>
      </c>
      <c r="J8" s="18" t="s">
        <v>20</v>
      </c>
    </row>
  </sheetData>
  <mergeCells count="7">
    <mergeCell ref="A1:J1"/>
    <mergeCell ref="A2:A3"/>
    <mergeCell ref="B2:C2"/>
    <mergeCell ref="D2:E2"/>
    <mergeCell ref="F2:G2"/>
    <mergeCell ref="H2:I2"/>
    <mergeCell ref="J2:J3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1"/>
  <sheetViews>
    <sheetView zoomScaleNormal="100" workbookViewId="0">
      <pane ySplit="2" topLeftCell="A3" activePane="bottomLeft" state="frozen"/>
      <selection pane="bottomLeft" activeCell="N5" sqref="N5"/>
    </sheetView>
  </sheetViews>
  <sheetFormatPr defaultRowHeight="15" x14ac:dyDescent="0.25"/>
  <cols>
    <col min="1" max="1" width="8.28515625"/>
    <col min="2" max="2" width="7"/>
    <col min="3" max="3" width="9.5703125"/>
    <col min="4" max="4" width="7.7109375"/>
    <col min="5" max="5" width="9.28515625"/>
    <col min="6" max="6" width="7.7109375"/>
    <col min="7" max="8" width="9.42578125"/>
    <col min="9" max="10" width="8.85546875"/>
    <col min="11" max="11" width="61.85546875"/>
    <col min="15" max="1025" width="9.140625" style="19"/>
  </cols>
  <sheetData>
    <row r="1" spans="1:14" ht="30.75" customHeight="1" x14ac:dyDescent="0.25">
      <c r="A1" s="30" t="s">
        <v>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29" t="s">
        <v>22</v>
      </c>
      <c r="M1" s="29"/>
      <c r="N1" s="29"/>
    </row>
    <row r="2" spans="1:14" ht="20.25" customHeight="1" x14ac:dyDescent="0.25">
      <c r="A2" s="31" t="s">
        <v>23</v>
      </c>
      <c r="B2" s="1" t="s">
        <v>24</v>
      </c>
      <c r="C2" s="31" t="s">
        <v>25</v>
      </c>
      <c r="D2" s="1" t="s">
        <v>26</v>
      </c>
      <c r="E2" s="1"/>
      <c r="F2" s="1" t="s">
        <v>1</v>
      </c>
      <c r="G2" s="1"/>
      <c r="H2" s="4" t="s">
        <v>2</v>
      </c>
      <c r="I2" s="1" t="s">
        <v>27</v>
      </c>
      <c r="J2" s="1" t="s">
        <v>28</v>
      </c>
      <c r="K2" s="28" t="s">
        <v>0</v>
      </c>
      <c r="L2" s="29"/>
      <c r="M2" s="29"/>
      <c r="N2" s="29"/>
    </row>
    <row r="3" spans="1:14" ht="27" customHeight="1" x14ac:dyDescent="0.25">
      <c r="A3" s="31"/>
      <c r="B3" s="1"/>
      <c r="C3" s="31"/>
      <c r="D3" s="20" t="s">
        <v>29</v>
      </c>
      <c r="E3" s="4" t="s">
        <v>30</v>
      </c>
      <c r="F3" s="4" t="s">
        <v>29</v>
      </c>
      <c r="G3" s="4" t="s">
        <v>30</v>
      </c>
      <c r="H3" s="4" t="s">
        <v>30</v>
      </c>
      <c r="I3" s="1"/>
      <c r="J3" s="1"/>
      <c r="K3" s="28"/>
      <c r="L3" s="21" t="s">
        <v>31</v>
      </c>
      <c r="M3" s="21" t="s">
        <v>32</v>
      </c>
      <c r="N3" s="21" t="s">
        <v>33</v>
      </c>
    </row>
    <row r="4" spans="1:14" ht="22.5" customHeight="1" x14ac:dyDescent="0.25">
      <c r="A4" s="22">
        <v>1</v>
      </c>
      <c r="F4" t="s">
        <v>20</v>
      </c>
      <c r="G4" t="s">
        <v>20</v>
      </c>
      <c r="H4">
        <v>5520</v>
      </c>
      <c r="I4" t="s">
        <v>20</v>
      </c>
      <c r="J4" t="s">
        <v>31</v>
      </c>
      <c r="K4" s="23" t="s">
        <v>34</v>
      </c>
      <c r="L4" s="24">
        <f>5520+900</f>
        <v>6420</v>
      </c>
      <c r="M4" s="24">
        <f>5520+600</f>
        <v>6120</v>
      </c>
      <c r="N4" s="24">
        <v>6000</v>
      </c>
    </row>
    <row r="5" spans="1:14" x14ac:dyDescent="0.25">
      <c r="A5" s="22">
        <v>2</v>
      </c>
      <c r="F5" t="s">
        <v>20</v>
      </c>
      <c r="G5" t="s">
        <v>20</v>
      </c>
      <c r="H5">
        <v>5520</v>
      </c>
      <c r="I5" t="s">
        <v>20</v>
      </c>
      <c r="J5" t="s">
        <v>32</v>
      </c>
      <c r="K5" s="23" t="s">
        <v>35</v>
      </c>
      <c r="L5" s="25"/>
      <c r="M5" s="25"/>
      <c r="N5" s="25"/>
    </row>
    <row r="6" spans="1:14" x14ac:dyDescent="0.25">
      <c r="A6" s="22">
        <v>3</v>
      </c>
      <c r="G6" s="23"/>
      <c r="H6" s="23">
        <v>6000</v>
      </c>
      <c r="I6" t="s">
        <v>20</v>
      </c>
      <c r="J6" s="23" t="s">
        <v>33</v>
      </c>
      <c r="K6" s="23" t="s">
        <v>36</v>
      </c>
      <c r="L6" s="25"/>
      <c r="M6" s="25"/>
      <c r="N6" s="25"/>
    </row>
    <row r="7" spans="1:14" x14ac:dyDescent="0.25">
      <c r="A7" s="22">
        <v>4</v>
      </c>
      <c r="F7" s="23">
        <v>9</v>
      </c>
      <c r="G7" s="26">
        <v>900</v>
      </c>
      <c r="J7" s="23" t="s">
        <v>31</v>
      </c>
      <c r="K7" s="23" t="s">
        <v>7</v>
      </c>
      <c r="L7" s="25"/>
      <c r="M7" s="25"/>
      <c r="N7" s="25"/>
    </row>
    <row r="8" spans="1:14" x14ac:dyDescent="0.25">
      <c r="A8" s="22">
        <f>A7+1</f>
        <v>5</v>
      </c>
      <c r="D8">
        <v>6</v>
      </c>
      <c r="E8">
        <v>600</v>
      </c>
      <c r="F8" s="23"/>
      <c r="G8" s="23"/>
      <c r="I8" t="s">
        <v>20</v>
      </c>
      <c r="J8" s="23" t="s">
        <v>32</v>
      </c>
      <c r="K8" s="23" t="s">
        <v>6</v>
      </c>
      <c r="L8" s="25"/>
      <c r="M8" s="25"/>
      <c r="N8" s="25"/>
    </row>
    <row r="11" spans="1:14" ht="14.25" customHeight="1" x14ac:dyDescent="0.25"/>
  </sheetData>
  <mergeCells count="10">
    <mergeCell ref="A1:K1"/>
    <mergeCell ref="L1:N2"/>
    <mergeCell ref="A2:A3"/>
    <mergeCell ref="B2:B3"/>
    <mergeCell ref="C2:C3"/>
    <mergeCell ref="D2:E2"/>
    <mergeCell ref="F2:G2"/>
    <mergeCell ref="I2:I3"/>
    <mergeCell ref="J2:J3"/>
    <mergeCell ref="K2:K3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Qtd_minima</vt:lpstr>
      <vt:lpstr>Circuitos</vt:lpstr>
      <vt:lpstr>Qtd_minima!Titulos_de_impressao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HP</cp:lastModifiedBy>
  <cp:revision>0</cp:revision>
  <cp:lastPrinted>2014-04-13T19:26:33Z</cp:lastPrinted>
  <dcterms:created xsi:type="dcterms:W3CDTF">2014-03-20T15:42:00Z</dcterms:created>
  <dcterms:modified xsi:type="dcterms:W3CDTF">2015-05-21T22:14:48Z</dcterms:modified>
</cp:coreProperties>
</file>