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eleneps\Dropbox\Projeto-Instalações\Calculo_Potência\13.04\"/>
    </mc:Choice>
  </mc:AlternateContent>
  <bookViews>
    <workbookView xWindow="240" yWindow="120" windowWidth="6675" windowHeight="6990" firstSheet="1" activeTab="1"/>
  </bookViews>
  <sheets>
    <sheet name="Dependencias" sheetId="1" r:id="rId1"/>
    <sheet name="Qtd_minima" sheetId="3" r:id="rId2"/>
    <sheet name="Demanda-Criterios" sheetId="4" r:id="rId3"/>
    <sheet name="Comparações dos Criterios" sheetId="6" r:id="rId4"/>
    <sheet name="Regras" sheetId="5" r:id="rId5"/>
  </sheets>
  <definedNames>
    <definedName name="_xlnm.Print_Titles" localSheetId="1">Qtd_minima!$1:$3</definedName>
  </definedNames>
  <calcPr calcId="152511"/>
</workbook>
</file>

<file path=xl/calcChain.xml><?xml version="1.0" encoding="utf-8"?>
<calcChain xmlns="http://schemas.openxmlformats.org/spreadsheetml/2006/main">
  <c r="C11" i="6" l="1"/>
  <c r="E26" i="4"/>
  <c r="D17" i="4"/>
  <c r="D20" i="4" s="1"/>
  <c r="H18" i="4" s="1"/>
  <c r="J5" i="4" l="1"/>
  <c r="E4" i="4" l="1"/>
  <c r="J4" i="4"/>
  <c r="E5" i="4"/>
  <c r="E6" i="4"/>
  <c r="J6" i="4"/>
  <c r="J7" i="4"/>
  <c r="J8" i="4"/>
  <c r="J9" i="4"/>
  <c r="E27" i="4"/>
  <c r="I27" i="4"/>
  <c r="E29" i="4"/>
  <c r="I29" i="4"/>
  <c r="E28" i="4"/>
  <c r="I30" i="4"/>
  <c r="I28" i="4"/>
  <c r="D10" i="4" l="1"/>
  <c r="I26" i="4"/>
  <c r="J10" i="4"/>
  <c r="H33" i="3" l="1"/>
  <c r="I33" i="3"/>
  <c r="G33" i="3" l="1"/>
  <c r="F33" i="3"/>
  <c r="D33" i="3"/>
  <c r="E33" i="3"/>
  <c r="C33" i="3" l="1"/>
  <c r="B33" i="3"/>
  <c r="C29" i="1" l="1"/>
  <c r="B29" i="1"/>
  <c r="C32" i="4"/>
</calcChain>
</file>

<file path=xl/sharedStrings.xml><?xml version="1.0" encoding="utf-8"?>
<sst xmlns="http://schemas.openxmlformats.org/spreadsheetml/2006/main" count="218" uniqueCount="125">
  <si>
    <t>Dependência</t>
  </si>
  <si>
    <t>Área</t>
  </si>
  <si>
    <t>Área (m²)</t>
  </si>
  <si>
    <t>Observação</t>
  </si>
  <si>
    <t>Dimensões</t>
  </si>
  <si>
    <t>Iluminação</t>
  </si>
  <si>
    <t>Qtd.</t>
  </si>
  <si>
    <t>Potência (VA)</t>
  </si>
  <si>
    <t>TUGs</t>
  </si>
  <si>
    <t>Potência(VA)</t>
  </si>
  <si>
    <t>TUEs</t>
  </si>
  <si>
    <t>Potência(W)</t>
  </si>
  <si>
    <t>Perímetro (m)</t>
  </si>
  <si>
    <t>DEPENDÊNCIAS DA INSTALAÇÃO</t>
  </si>
  <si>
    <t>INSTALAÇÃO MÍNIMA</t>
  </si>
  <si>
    <t>Escada</t>
  </si>
  <si>
    <t>BWC 2</t>
  </si>
  <si>
    <t>BWC 4</t>
  </si>
  <si>
    <t>Microondas</t>
  </si>
  <si>
    <t>Exaustor</t>
  </si>
  <si>
    <t>Total</t>
  </si>
  <si>
    <t>Cozinha</t>
  </si>
  <si>
    <t>Dormitório 1</t>
  </si>
  <si>
    <t>Dormitório 2</t>
  </si>
  <si>
    <t>Dormitório 4</t>
  </si>
  <si>
    <t>WC</t>
  </si>
  <si>
    <t>Vestir</t>
  </si>
  <si>
    <t>Terraço</t>
  </si>
  <si>
    <t>Estar</t>
  </si>
  <si>
    <t>Jantar</t>
  </si>
  <si>
    <t>Elevador 1</t>
  </si>
  <si>
    <t>Elevador 2</t>
  </si>
  <si>
    <t>Hall 1</t>
  </si>
  <si>
    <t>Hall 2</t>
  </si>
  <si>
    <t>Despensa</t>
  </si>
  <si>
    <t>Serviços</t>
  </si>
  <si>
    <t>Deposito</t>
  </si>
  <si>
    <t>BWC1</t>
  </si>
  <si>
    <t>Corredor 1</t>
  </si>
  <si>
    <t>Dormitorio 3</t>
  </si>
  <si>
    <t>BWC3</t>
  </si>
  <si>
    <t>Corredor 2</t>
  </si>
  <si>
    <t>Dependencia</t>
  </si>
  <si>
    <t>Ar Condicionado</t>
  </si>
  <si>
    <t>-</t>
  </si>
  <si>
    <t>Dependencias</t>
  </si>
  <si>
    <t>Chuveiro Elétrico</t>
  </si>
  <si>
    <t>Lavadora de Pratos</t>
  </si>
  <si>
    <t>Lavadora de Roupas</t>
  </si>
  <si>
    <t>Secadora de Roupas</t>
  </si>
  <si>
    <t>Lavad. Prato</t>
  </si>
  <si>
    <t>Lavad. Roupa</t>
  </si>
  <si>
    <t>Chuveiros</t>
  </si>
  <si>
    <t>Quantidade</t>
  </si>
  <si>
    <t>Demanda</t>
  </si>
  <si>
    <t>Outros aparelhos fixos e estacionários</t>
  </si>
  <si>
    <t>Fornos, Fogões, Secadoras de Roupa, Aquecedores de Ambiente, Ar-condicionado</t>
  </si>
  <si>
    <t>Aparelhos Ar Condicionado</t>
  </si>
  <si>
    <t>Demanda (D=(Pilum + Ptug)*g + Ptue)</t>
  </si>
  <si>
    <t>Aparelhos Eletrodoméstico Fixos ou Estacionários</t>
  </si>
  <si>
    <t>Área de Serviço</t>
  </si>
  <si>
    <t>TUE</t>
  </si>
  <si>
    <t>TUG</t>
  </si>
  <si>
    <t>Ilum</t>
  </si>
  <si>
    <t>Fator Demanda</t>
  </si>
  <si>
    <t>Potência (W)</t>
  </si>
  <si>
    <t>Potencia (W)</t>
  </si>
  <si>
    <t>Fp</t>
  </si>
  <si>
    <t>Método NEC</t>
  </si>
  <si>
    <t>Método IEC</t>
  </si>
  <si>
    <t>Método COBEI</t>
  </si>
  <si>
    <t>Potência Instalada</t>
  </si>
  <si>
    <t>Descrição</t>
  </si>
  <si>
    <t>Fator de demanda (g)</t>
  </si>
  <si>
    <r>
      <rPr>
        <b/>
        <sz val="11"/>
        <color theme="1"/>
        <rFont val="Calibri"/>
        <family val="2"/>
        <scheme val="minor"/>
      </rPr>
      <t>Fatores de demanda para iluminação e tomadas de uso geral em unidades residenciais e acomodações de hotéis, motéis, similares.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COBEI.</t>
    </r>
    <r>
      <rPr>
        <b/>
        <sz val="11"/>
        <rFont val="Calibri"/>
        <family val="2"/>
        <scheme val="minor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</si>
  <si>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 xml:space="preserve">. p.164 4ed Cotrim </t>
    </r>
  </si>
  <si>
    <r>
      <t xml:space="preserve">Fatores de demanda para equipamento de hidromassagem de uso residencial.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p.164 4ed Cotrim.</t>
    </r>
  </si>
  <si>
    <t>Potência - P(kW)</t>
  </si>
  <si>
    <t>Fator de demanda (%)</t>
  </si>
  <si>
    <r>
      <t xml:space="preserve">0 &lt; P </t>
    </r>
    <r>
      <rPr>
        <sz val="11"/>
        <color theme="1"/>
        <rFont val="Calibri"/>
        <family val="2"/>
      </rPr>
      <t>≤ 1</t>
    </r>
  </si>
  <si>
    <r>
      <t xml:space="preserve">Fatores de demanda para aparelhos de ar-condicionado (tipo janela ou centrais individuais) de uso residencial, aplicáveis a prédios de apartamentos.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p164 4ed Cotrim.</t>
    </r>
  </si>
  <si>
    <r>
      <t xml:space="preserve">Fatores de demanda para aparelhos de ar-condicionado (tipo janela ou centrais individuais) aplicáveis a prédios comerciais.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>. p165 4ed Cotrim.</t>
    </r>
  </si>
  <si>
    <r>
      <t xml:space="preserve">1 &lt; P </t>
    </r>
    <r>
      <rPr>
        <sz val="11"/>
        <color theme="1"/>
        <rFont val="Calibri"/>
        <family val="2"/>
      </rPr>
      <t>≤ 2</t>
    </r>
  </si>
  <si>
    <r>
      <t xml:space="preserve">2 &lt; P </t>
    </r>
    <r>
      <rPr>
        <sz val="11"/>
        <color theme="1"/>
        <rFont val="Calibri"/>
        <family val="2"/>
      </rPr>
      <t>≤ 3</t>
    </r>
  </si>
  <si>
    <r>
      <t xml:space="preserve">3 &lt; P </t>
    </r>
    <r>
      <rPr>
        <sz val="11"/>
        <color theme="1"/>
        <rFont val="Calibri"/>
        <family val="2"/>
      </rPr>
      <t>≤ 4</t>
    </r>
  </si>
  <si>
    <r>
      <t xml:space="preserve">4 &lt; P </t>
    </r>
    <r>
      <rPr>
        <sz val="11"/>
        <color theme="1"/>
        <rFont val="Calibri"/>
        <family val="2"/>
      </rPr>
      <t>≤ 5</t>
    </r>
  </si>
  <si>
    <r>
      <t xml:space="preserve">5 &lt; P </t>
    </r>
    <r>
      <rPr>
        <sz val="11"/>
        <color theme="1"/>
        <rFont val="Calibri"/>
        <family val="2"/>
      </rPr>
      <t>≤ 6</t>
    </r>
  </si>
  <si>
    <r>
      <t xml:space="preserve">6 &lt; P </t>
    </r>
    <r>
      <rPr>
        <sz val="11"/>
        <color theme="1"/>
        <rFont val="Calibri"/>
        <family val="2"/>
      </rPr>
      <t>≤ 7</t>
    </r>
  </si>
  <si>
    <r>
      <t xml:space="preserve">Fatores de demanda de alguns equipamentos de uso residencial. </t>
    </r>
    <r>
      <rPr>
        <b/>
        <sz val="11"/>
        <color rgb="FFFF0000"/>
        <rFont val="Calibri"/>
        <family val="2"/>
        <scheme val="minor"/>
      </rPr>
      <t>COBEI</t>
    </r>
    <r>
      <rPr>
        <b/>
        <sz val="11"/>
        <color theme="1"/>
        <rFont val="Calibri"/>
        <family val="2"/>
        <scheme val="minor"/>
      </rPr>
      <t xml:space="preserve">. p165 4ed Cotrim. </t>
    </r>
  </si>
  <si>
    <r>
      <t xml:space="preserve">Fatores de demanda para unidades residenciais e acomodações de hotéis, motéis e similares. </t>
    </r>
    <r>
      <rPr>
        <b/>
        <sz val="11"/>
        <color rgb="FFFF0000"/>
        <rFont val="Calibri"/>
        <family val="2"/>
        <scheme val="minor"/>
      </rPr>
      <t>IEC 64</t>
    </r>
    <r>
      <rPr>
        <b/>
        <sz val="11"/>
        <color theme="1"/>
        <rFont val="Calibri"/>
        <family val="2"/>
        <scheme val="minor"/>
      </rPr>
      <t>. p166 4ed Cotrim.</t>
    </r>
  </si>
  <si>
    <r>
      <t xml:space="preserve">7 &lt; P </t>
    </r>
    <r>
      <rPr>
        <sz val="11"/>
        <color theme="1"/>
        <rFont val="Calibri"/>
        <family val="2"/>
      </rPr>
      <t>≤ 8</t>
    </r>
  </si>
  <si>
    <r>
      <t xml:space="preserve">8 &lt; P </t>
    </r>
    <r>
      <rPr>
        <sz val="11"/>
        <color theme="1"/>
        <rFont val="Calibri"/>
        <family val="2"/>
      </rPr>
      <t>≤ 9</t>
    </r>
  </si>
  <si>
    <r>
      <t xml:space="preserve">9 &lt; P </t>
    </r>
    <r>
      <rPr>
        <sz val="11"/>
        <color theme="1"/>
        <rFont val="Calibri"/>
        <family val="2"/>
      </rPr>
      <t>≤ 10</t>
    </r>
  </si>
  <si>
    <t>Acima de 10</t>
  </si>
  <si>
    <r>
      <t xml:space="preserve">De acordo com a </t>
    </r>
    <r>
      <rPr>
        <b/>
        <sz val="11"/>
        <color rgb="FFFF0000"/>
        <rFont val="Calibri"/>
        <family val="2"/>
        <scheme val="minor"/>
      </rPr>
      <t>CESP</t>
    </r>
    <r>
      <rPr>
        <b/>
        <sz val="11"/>
        <rFont val="Calibri"/>
        <family val="2"/>
        <scheme val="minor"/>
      </rPr>
      <t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</si>
  <si>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</si>
  <si>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</si>
  <si>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</si>
  <si>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</si>
  <si>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</si>
  <si>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</si>
  <si>
    <t>*</t>
  </si>
  <si>
    <t>Observações</t>
  </si>
  <si>
    <t>(0,2* 5A * 200 V * 57 * 0,8)</t>
  </si>
  <si>
    <t>57 é a quantidade de tomadas</t>
  </si>
  <si>
    <t>Aparelho de Cozinha</t>
  </si>
  <si>
    <t>Como é apenas 1 aparelho FD = 1</t>
  </si>
  <si>
    <t>Aquecimento de Água</t>
  </si>
  <si>
    <t>Demanda Total (W)</t>
  </si>
  <si>
    <t>Densidade Potência (W/m2)</t>
  </si>
  <si>
    <t>Área (m2)</t>
  </si>
  <si>
    <t>P(ilum+tug) (W)</t>
  </si>
  <si>
    <t>Demanda Máxima (W)</t>
  </si>
  <si>
    <t>Potência</t>
  </si>
  <si>
    <t>Secadora de Roupa</t>
  </si>
  <si>
    <t>Total (W)</t>
  </si>
  <si>
    <t>Demanda Total(W):</t>
  </si>
  <si>
    <t>Métodos</t>
  </si>
  <si>
    <t>COBEI</t>
  </si>
  <si>
    <t>IEC</t>
  </si>
  <si>
    <t>NEC</t>
  </si>
  <si>
    <t>Potência Instalada (W)</t>
  </si>
  <si>
    <t>Método escolhido, com menor demanda</t>
  </si>
  <si>
    <t>Ib</t>
  </si>
  <si>
    <t>Cálculo da Corrente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</si>
</sst>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6"/>
      <name val="Calibri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C8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4" borderId="8" applyNumberFormat="0" applyFont="0" applyAlignment="0" applyProtection="0"/>
  </cellStyleXfs>
  <cellXfs count="15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8" xfId="1" applyFont="1" applyAlignment="1">
      <alignment wrapText="1"/>
    </xf>
    <xf numFmtId="0" fontId="0" fillId="4" borderId="8" xfId="1" applyFont="1" applyAlignment="1">
      <alignment vertical="center" wrapText="1"/>
    </xf>
    <xf numFmtId="0" fontId="3" fillId="4" borderId="8" xfId="1" applyFont="1" applyAlignment="1">
      <alignment wrapText="1"/>
    </xf>
    <xf numFmtId="0" fontId="0" fillId="6" borderId="1" xfId="0" applyFill="1" applyBorder="1" applyAlignment="1">
      <alignment horizontal="center" vertical="center"/>
    </xf>
    <xf numFmtId="0" fontId="2" fillId="4" borderId="8" xfId="1" applyFont="1" applyAlignment="1">
      <alignment vertical="center" wrapText="1"/>
    </xf>
    <xf numFmtId="164" fontId="0" fillId="4" borderId="8" xfId="1" applyNumberFormat="1" applyFont="1" applyAlignment="1">
      <alignment wrapText="1"/>
    </xf>
    <xf numFmtId="2" fontId="0" fillId="4" borderId="8" xfId="1" applyNumberFormat="1" applyFont="1" applyAlignment="1">
      <alignment wrapText="1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1" xfId="1" applyFont="1" applyBorder="1" applyAlignment="1">
      <alignment wrapText="1"/>
    </xf>
    <xf numFmtId="0" fontId="2" fillId="4" borderId="1" xfId="1" applyFont="1" applyBorder="1" applyAlignment="1">
      <alignment vertical="center" wrapText="1"/>
    </xf>
    <xf numFmtId="0" fontId="0" fillId="4" borderId="1" xfId="1" applyFont="1" applyBorder="1" applyAlignment="1">
      <alignment vertical="center" wrapText="1"/>
    </xf>
    <xf numFmtId="0" fontId="0" fillId="0" borderId="0" xfId="0" applyFill="1" applyBorder="1"/>
    <xf numFmtId="0" fontId="0" fillId="4" borderId="1" xfId="1" applyFont="1" applyBorder="1" applyAlignment="1">
      <alignment horizontal="center" wrapText="1"/>
    </xf>
    <xf numFmtId="0" fontId="0" fillId="4" borderId="7" xfId="1" applyFont="1" applyBorder="1" applyAlignment="1">
      <alignment horizontal="center" vertical="center" wrapText="1"/>
    </xf>
    <xf numFmtId="0" fontId="0" fillId="4" borderId="6" xfId="1" applyFont="1" applyBorder="1" applyAlignment="1">
      <alignment horizontal="center" vertical="center" wrapText="1"/>
    </xf>
    <xf numFmtId="0" fontId="0" fillId="4" borderId="7" xfId="1" applyFont="1" applyBorder="1" applyAlignment="1">
      <alignment vertical="center" wrapText="1"/>
    </xf>
    <xf numFmtId="0" fontId="0" fillId="4" borderId="7" xfId="1" applyFont="1" applyBorder="1" applyAlignment="1">
      <alignment horizontal="center" wrapText="1"/>
    </xf>
    <xf numFmtId="0" fontId="0" fillId="6" borderId="2" xfId="0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3" fillId="4" borderId="6" xfId="1" applyFont="1" applyBorder="1" applyAlignment="1">
      <alignment wrapText="1"/>
    </xf>
    <xf numFmtId="0" fontId="0" fillId="6" borderId="6" xfId="0" applyFill="1" applyBorder="1" applyAlignment="1">
      <alignment horizontal="center"/>
    </xf>
    <xf numFmtId="0" fontId="0" fillId="4" borderId="4" xfId="1" applyFont="1" applyBorder="1" applyAlignment="1">
      <alignment vertical="center" wrapText="1"/>
    </xf>
    <xf numFmtId="0" fontId="0" fillId="4" borderId="9" xfId="1" applyFont="1" applyBorder="1" applyAlignment="1">
      <alignment wrapText="1"/>
    </xf>
    <xf numFmtId="0" fontId="0" fillId="4" borderId="9" xfId="1" applyFont="1" applyBorder="1" applyAlignment="1">
      <alignment horizontal="center" wrapText="1"/>
    </xf>
    <xf numFmtId="0" fontId="0" fillId="6" borderId="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9" fillId="4" borderId="6" xfId="1" applyFont="1" applyBorder="1" applyAlignment="1">
      <alignment horizontal="center" wrapText="1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4" borderId="1" xfId="1" applyNumberFormat="1" applyFont="1" applyBorder="1" applyAlignment="1">
      <alignment horizontal="center" wrapText="1"/>
    </xf>
    <xf numFmtId="164" fontId="0" fillId="4" borderId="1" xfId="1" applyNumberFormat="1" applyFont="1" applyBorder="1" applyAlignment="1">
      <alignment horizontal="center" vertical="center" wrapText="1"/>
    </xf>
    <xf numFmtId="164" fontId="9" fillId="4" borderId="6" xfId="1" applyNumberFormat="1" applyFont="1" applyBorder="1" applyAlignment="1">
      <alignment horizontal="center" wrapText="1"/>
    </xf>
    <xf numFmtId="2" fontId="9" fillId="4" borderId="6" xfId="1" applyNumberFormat="1" applyFont="1" applyBorder="1" applyAlignment="1">
      <alignment horizontal="center" wrapText="1"/>
    </xf>
    <xf numFmtId="2" fontId="0" fillId="4" borderId="1" xfId="1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4" borderId="7" xfId="1" applyFont="1" applyBorder="1" applyAlignment="1">
      <alignment horizontal="left" vertical="center" wrapText="1"/>
    </xf>
    <xf numFmtId="0" fontId="0" fillId="4" borderId="10" xfId="1" applyFont="1" applyBorder="1" applyAlignment="1">
      <alignment horizontal="left" vertical="center" wrapText="1"/>
    </xf>
    <xf numFmtId="0" fontId="0" fillId="4" borderId="6" xfId="1" applyFont="1" applyBorder="1" applyAlignment="1">
      <alignment horizontal="left" vertical="center" wrapText="1"/>
    </xf>
    <xf numFmtId="164" fontId="0" fillId="4" borderId="7" xfId="1" applyNumberFormat="1" applyFont="1" applyBorder="1" applyAlignment="1">
      <alignment horizontal="center" vertical="center" wrapText="1"/>
    </xf>
    <xf numFmtId="164" fontId="0" fillId="4" borderId="10" xfId="1" applyNumberFormat="1" applyFont="1" applyBorder="1" applyAlignment="1">
      <alignment horizontal="center" vertical="center" wrapText="1"/>
    </xf>
    <xf numFmtId="164" fontId="0" fillId="4" borderId="6" xfId="1" applyNumberFormat="1" applyFont="1" applyBorder="1" applyAlignment="1">
      <alignment horizontal="center" vertical="center" wrapText="1"/>
    </xf>
    <xf numFmtId="2" fontId="0" fillId="4" borderId="7" xfId="1" applyNumberFormat="1" applyFont="1" applyBorder="1" applyAlignment="1">
      <alignment horizontal="center" vertical="center" wrapText="1"/>
    </xf>
    <xf numFmtId="2" fontId="0" fillId="4" borderId="10" xfId="1" applyNumberFormat="1" applyFont="1" applyBorder="1" applyAlignment="1">
      <alignment horizontal="center" vertical="center" wrapText="1"/>
    </xf>
    <xf numFmtId="2" fontId="0" fillId="4" borderId="6" xfId="1" applyNumberFormat="1" applyFont="1" applyBorder="1" applyAlignment="1">
      <alignment horizontal="center" vertical="center" wrapText="1"/>
    </xf>
    <xf numFmtId="0" fontId="0" fillId="4" borderId="7" xfId="1" applyFont="1" applyBorder="1" applyAlignment="1">
      <alignment horizontal="center" vertical="center" wrapText="1"/>
    </xf>
    <xf numFmtId="0" fontId="0" fillId="4" borderId="10" xfId="1" applyFont="1" applyBorder="1" applyAlignment="1">
      <alignment horizontal="center" vertical="center" wrapText="1"/>
    </xf>
    <xf numFmtId="0" fontId="0" fillId="4" borderId="6" xfId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2" fontId="12" fillId="0" borderId="27" xfId="0" applyNumberFormat="1" applyFont="1" applyBorder="1" applyAlignment="1">
      <alignment horizontal="center" vertical="center"/>
    </xf>
    <xf numFmtId="2" fontId="12" fillId="0" borderId="26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ta" xfId="1" builtinId="10"/>
  </cellStyles>
  <dxfs count="0"/>
  <tableStyles count="0" defaultTableStyle="TableStyleMedium2" defaultPivotStyle="PivotStyleLight16"/>
  <colors>
    <mruColors>
      <color rgb="FFFF7C80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121223</xdr:colOff>
      <xdr:row>12</xdr:row>
      <xdr:rowOff>183173</xdr:rowOff>
    </xdr:from>
    <xdr:to>
      <xdr:col>4</xdr:col>
      <xdr:colOff>1998784</xdr:colOff>
      <xdr:row>17</xdr:row>
      <xdr:rowOff>536307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498" y="2954948"/>
          <a:ext cx="4668386" cy="1829509"/>
        </a:xfrm>
        <a:prstGeom prst="rect">
          <a:avLst/>
        </a:prstGeom>
      </xdr:spPr>
    </xdr:pic>
    <xdr:clientData/>
  </xdr:twoCellAnchor>
  <xdr:twoCellAnchor editAs="oneCell">
    <xdr:from>
      <xdr:col>0</xdr:col>
      <xdr:colOff>80595</xdr:colOff>
      <xdr:row>18</xdr:row>
      <xdr:rowOff>118622</xdr:rowOff>
    </xdr:from>
    <xdr:to>
      <xdr:col>4</xdr:col>
      <xdr:colOff>496765</xdr:colOff>
      <xdr:row>37</xdr:row>
      <xdr:rowOff>379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95" y="5090672"/>
          <a:ext cx="6931270" cy="3320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2" topLeftCell="A3" activePane="bottomLeft" state="frozen"/>
      <selection pane="bottomLeft" activeCell="F11" sqref="F11"/>
    </sheetView>
  </sheetViews>
  <sheetFormatPr defaultColWidth="9.125" defaultRowHeight="14.25"/>
  <cols>
    <col min="1" max="1" width="16.875" style="1" customWidth="1"/>
    <col min="2" max="2" width="9.375" style="1" bestFit="1" customWidth="1"/>
    <col min="3" max="3" width="13.75" style="1" bestFit="1" customWidth="1"/>
    <col min="4" max="4" width="30.75" style="1" customWidth="1"/>
    <col min="5" max="16384" width="9.125" style="2"/>
  </cols>
  <sheetData>
    <row r="1" spans="1:4" ht="36" customHeight="1">
      <c r="A1" s="74" t="s">
        <v>13</v>
      </c>
      <c r="B1" s="74"/>
      <c r="C1" s="74"/>
      <c r="D1" s="74"/>
    </row>
    <row r="2" spans="1:4" ht="15">
      <c r="A2" s="15" t="s">
        <v>0</v>
      </c>
      <c r="B2" s="15" t="s">
        <v>2</v>
      </c>
      <c r="C2" s="15" t="s">
        <v>12</v>
      </c>
      <c r="D2" s="15" t="s">
        <v>3</v>
      </c>
    </row>
    <row r="3" spans="1:4">
      <c r="A3" s="5" t="s">
        <v>22</v>
      </c>
      <c r="B3" s="10">
        <v>11.7128</v>
      </c>
      <c r="C3" s="11">
        <v>14.038</v>
      </c>
      <c r="D3" s="5"/>
    </row>
    <row r="4" spans="1:4">
      <c r="A4" s="5" t="s">
        <v>37</v>
      </c>
      <c r="B4" s="10">
        <v>3.99</v>
      </c>
      <c r="C4" s="5">
        <v>8.32</v>
      </c>
      <c r="D4" s="5"/>
    </row>
    <row r="5" spans="1:4">
      <c r="A5" s="5" t="s">
        <v>26</v>
      </c>
      <c r="B5" s="10">
        <v>5.7190000000000003</v>
      </c>
      <c r="C5" s="5">
        <v>9.6199999999999992</v>
      </c>
      <c r="D5" s="5"/>
    </row>
    <row r="6" spans="1:4">
      <c r="A6" s="5" t="s">
        <v>23</v>
      </c>
      <c r="B6" s="10">
        <v>9.4286999999999992</v>
      </c>
      <c r="C6" s="11">
        <v>12.849299999999999</v>
      </c>
      <c r="D6" s="5"/>
    </row>
    <row r="7" spans="1:4">
      <c r="A7" s="5" t="s">
        <v>16</v>
      </c>
      <c r="B7" s="10">
        <v>3.7050000000000001</v>
      </c>
      <c r="C7" s="11">
        <v>7.7</v>
      </c>
      <c r="D7" s="5"/>
    </row>
    <row r="8" spans="1:4">
      <c r="A8" s="5" t="s">
        <v>38</v>
      </c>
      <c r="B8" s="10">
        <v>3.4125000000000001</v>
      </c>
      <c r="C8" s="11">
        <v>7.4</v>
      </c>
      <c r="D8" s="5"/>
    </row>
    <row r="9" spans="1:4">
      <c r="A9" s="5" t="s">
        <v>39</v>
      </c>
      <c r="B9" s="10">
        <v>9.5719999999999992</v>
      </c>
      <c r="C9" s="11">
        <v>12.8766</v>
      </c>
      <c r="D9" s="5"/>
    </row>
    <row r="10" spans="1:4">
      <c r="A10" s="5" t="s">
        <v>24</v>
      </c>
      <c r="B10" s="10">
        <v>8.9320000000000004</v>
      </c>
      <c r="C10" s="5">
        <v>11.96</v>
      </c>
      <c r="D10" s="5"/>
    </row>
    <row r="11" spans="1:4">
      <c r="A11" s="5" t="s">
        <v>40</v>
      </c>
      <c r="B11" s="10">
        <v>5.9443999999999999</v>
      </c>
      <c r="C11" s="5">
        <v>10.02</v>
      </c>
      <c r="D11" s="5"/>
    </row>
    <row r="12" spans="1:4">
      <c r="A12" s="9" t="s">
        <v>27</v>
      </c>
      <c r="B12" s="10">
        <v>14.4899</v>
      </c>
      <c r="C12" s="5">
        <v>17.440000000000001</v>
      </c>
      <c r="D12" s="5"/>
    </row>
    <row r="13" spans="1:4">
      <c r="A13" s="6" t="s">
        <v>29</v>
      </c>
      <c r="B13" s="10">
        <v>31.075299999999999</v>
      </c>
      <c r="C13" s="11">
        <v>29.8</v>
      </c>
      <c r="D13" s="5"/>
    </row>
    <row r="14" spans="1:4">
      <c r="A14" s="9" t="s">
        <v>28</v>
      </c>
      <c r="B14" s="10">
        <v>17.6203</v>
      </c>
      <c r="C14" s="11">
        <v>16.919899999999998</v>
      </c>
      <c r="D14" s="5"/>
    </row>
    <row r="15" spans="1:4">
      <c r="A15" s="6" t="s">
        <v>25</v>
      </c>
      <c r="B15" s="10">
        <v>1.7110000000000001</v>
      </c>
      <c r="C15" s="5">
        <v>6.34</v>
      </c>
      <c r="D15" s="5"/>
    </row>
    <row r="16" spans="1:4">
      <c r="A16" s="6" t="s">
        <v>30</v>
      </c>
      <c r="B16" s="10">
        <v>2.25</v>
      </c>
      <c r="C16" s="11">
        <v>6</v>
      </c>
      <c r="D16" s="5"/>
    </row>
    <row r="17" spans="1:4">
      <c r="A17" s="9" t="s">
        <v>31</v>
      </c>
      <c r="B17" s="10">
        <v>2.4300000000000002</v>
      </c>
      <c r="C17" s="5">
        <v>6.24</v>
      </c>
      <c r="D17" s="5"/>
    </row>
    <row r="18" spans="1:4">
      <c r="A18" s="6" t="s">
        <v>32</v>
      </c>
      <c r="B18" s="10">
        <v>3.43</v>
      </c>
      <c r="C18" s="11">
        <v>7.7</v>
      </c>
      <c r="D18" s="5"/>
    </row>
    <row r="19" spans="1:4">
      <c r="A19" s="9" t="s">
        <v>33</v>
      </c>
      <c r="B19" s="10">
        <v>3.4485000000000001</v>
      </c>
      <c r="C19" s="11">
        <v>8.1</v>
      </c>
      <c r="D19" s="5"/>
    </row>
    <row r="20" spans="1:4">
      <c r="A20" s="6" t="s">
        <v>15</v>
      </c>
      <c r="B20" s="10">
        <v>10.554</v>
      </c>
      <c r="C20" s="5">
        <v>14.16</v>
      </c>
      <c r="D20" s="5"/>
    </row>
    <row r="21" spans="1:4">
      <c r="A21" s="6" t="s">
        <v>21</v>
      </c>
      <c r="B21" s="10">
        <v>13.0009</v>
      </c>
      <c r="C21" s="11">
        <v>15.5829</v>
      </c>
      <c r="D21" s="5"/>
    </row>
    <row r="22" spans="1:4">
      <c r="A22" s="6" t="s">
        <v>34</v>
      </c>
      <c r="B22" s="10">
        <v>1.925</v>
      </c>
      <c r="C22" s="11">
        <v>6.3</v>
      </c>
      <c r="D22" s="5"/>
    </row>
    <row r="23" spans="1:4">
      <c r="A23" s="6" t="s">
        <v>35</v>
      </c>
      <c r="B23" s="10">
        <v>10.34</v>
      </c>
      <c r="C23" s="11">
        <v>13.5</v>
      </c>
      <c r="D23" s="5"/>
    </row>
    <row r="24" spans="1:4">
      <c r="A24" s="9" t="s">
        <v>36</v>
      </c>
      <c r="B24" s="10">
        <v>2.1419999999999999</v>
      </c>
      <c r="C24" s="11">
        <v>6</v>
      </c>
      <c r="D24" s="5"/>
    </row>
    <row r="25" spans="1:4">
      <c r="A25" s="6" t="s">
        <v>17</v>
      </c>
      <c r="B25" s="10">
        <v>2.0699999999999998</v>
      </c>
      <c r="C25" s="5">
        <v>5.76</v>
      </c>
      <c r="D25" s="5"/>
    </row>
    <row r="26" spans="1:4">
      <c r="A26" s="6" t="s">
        <v>41</v>
      </c>
      <c r="B26" s="10">
        <v>2.496</v>
      </c>
      <c r="C26" s="5">
        <v>7.84</v>
      </c>
      <c r="D26" s="5"/>
    </row>
    <row r="27" spans="1:4">
      <c r="A27" s="6" t="s">
        <v>42</v>
      </c>
      <c r="B27" s="5">
        <v>4.048</v>
      </c>
      <c r="C27" s="5">
        <v>8.1199999999999992</v>
      </c>
      <c r="D27" s="5"/>
    </row>
    <row r="28" spans="1:4">
      <c r="A28" s="6"/>
      <c r="B28" s="5"/>
      <c r="C28" s="5"/>
      <c r="D28" s="5"/>
    </row>
    <row r="29" spans="1:4" ht="15">
      <c r="A29" s="7" t="s">
        <v>20</v>
      </c>
      <c r="B29" s="10">
        <f>SUM(B3:B27)</f>
        <v>185.44730000000004</v>
      </c>
      <c r="C29" s="11">
        <f>SUM(C3:C27)</f>
        <v>270.58670000000001</v>
      </c>
      <c r="D29" s="5"/>
    </row>
  </sheetData>
  <mergeCells count="1">
    <mergeCell ref="A1:D1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="115" zoomScaleNormal="115" workbookViewId="0">
      <pane ySplit="3" topLeftCell="A4" activePane="bottomLeft" state="frozen"/>
      <selection pane="bottomLeft" activeCell="G4" sqref="G4"/>
    </sheetView>
  </sheetViews>
  <sheetFormatPr defaultColWidth="9.125" defaultRowHeight="14.25"/>
  <cols>
    <col min="1" max="1" width="20.75" style="3" customWidth="1"/>
    <col min="2" max="2" width="10.25" style="3" customWidth="1"/>
    <col min="3" max="3" width="13.125" style="3" customWidth="1"/>
    <col min="4" max="4" width="5.75" style="1" customWidth="1"/>
    <col min="5" max="5" width="13.25" style="1" bestFit="1" customWidth="1"/>
    <col min="6" max="6" width="5.75" style="1" customWidth="1"/>
    <col min="7" max="7" width="12.75" style="1" bestFit="1" customWidth="1"/>
    <col min="8" max="8" width="5.75" style="1" customWidth="1"/>
    <col min="9" max="9" width="12" style="1" bestFit="1" customWidth="1"/>
    <col min="10" max="10" width="23.75" style="4" bestFit="1" customWidth="1"/>
    <col min="11" max="16384" width="9.125" style="3"/>
  </cols>
  <sheetData>
    <row r="1" spans="1:10" ht="30.75" customHeight="1">
      <c r="A1" s="77" t="s">
        <v>14</v>
      </c>
      <c r="B1" s="78"/>
      <c r="C1" s="78"/>
      <c r="D1" s="78"/>
      <c r="E1" s="78"/>
      <c r="F1" s="78"/>
      <c r="G1" s="78"/>
      <c r="H1" s="78"/>
      <c r="I1" s="78"/>
      <c r="J1" s="79"/>
    </row>
    <row r="2" spans="1:10" ht="15">
      <c r="A2" s="75" t="s">
        <v>45</v>
      </c>
      <c r="B2" s="80" t="s">
        <v>4</v>
      </c>
      <c r="C2" s="81"/>
      <c r="D2" s="94" t="s">
        <v>5</v>
      </c>
      <c r="E2" s="94"/>
      <c r="F2" s="94" t="s">
        <v>8</v>
      </c>
      <c r="G2" s="94"/>
      <c r="H2" s="94" t="s">
        <v>10</v>
      </c>
      <c r="I2" s="94"/>
      <c r="J2" s="94" t="s">
        <v>3</v>
      </c>
    </row>
    <row r="3" spans="1:10" ht="15">
      <c r="A3" s="76"/>
      <c r="B3" s="16" t="s">
        <v>110</v>
      </c>
      <c r="C3" s="16" t="s">
        <v>12</v>
      </c>
      <c r="D3" s="16" t="s">
        <v>6</v>
      </c>
      <c r="E3" s="16" t="s">
        <v>7</v>
      </c>
      <c r="F3" s="16" t="s">
        <v>6</v>
      </c>
      <c r="G3" s="16" t="s">
        <v>9</v>
      </c>
      <c r="H3" s="15" t="s">
        <v>6</v>
      </c>
      <c r="I3" s="15" t="s">
        <v>11</v>
      </c>
      <c r="J3" s="94"/>
    </row>
    <row r="4" spans="1:10">
      <c r="A4" s="22" t="s">
        <v>22</v>
      </c>
      <c r="B4" s="64">
        <v>11.7128</v>
      </c>
      <c r="C4" s="68">
        <v>14.038</v>
      </c>
      <c r="D4" s="26">
        <v>1</v>
      </c>
      <c r="E4" s="26">
        <v>160</v>
      </c>
      <c r="F4" s="26">
        <v>4</v>
      </c>
      <c r="G4" s="26">
        <v>400</v>
      </c>
      <c r="H4" s="17">
        <v>1</v>
      </c>
      <c r="I4" s="8">
        <v>1200</v>
      </c>
      <c r="J4" s="18" t="s">
        <v>43</v>
      </c>
    </row>
    <row r="5" spans="1:10">
      <c r="A5" s="22" t="s">
        <v>37</v>
      </c>
      <c r="B5" s="64">
        <v>3.99</v>
      </c>
      <c r="C5" s="26">
        <v>8.32</v>
      </c>
      <c r="D5" s="26">
        <v>2</v>
      </c>
      <c r="E5" s="26">
        <v>200</v>
      </c>
      <c r="F5" s="26">
        <v>1</v>
      </c>
      <c r="G5" s="26">
        <v>600</v>
      </c>
      <c r="H5" s="17">
        <v>1</v>
      </c>
      <c r="I5" s="8">
        <v>6000</v>
      </c>
      <c r="J5" s="18" t="s">
        <v>46</v>
      </c>
    </row>
    <row r="6" spans="1:10">
      <c r="A6" s="22" t="s">
        <v>26</v>
      </c>
      <c r="B6" s="64">
        <v>5.7190000000000003</v>
      </c>
      <c r="C6" s="26">
        <v>9.6199999999999992</v>
      </c>
      <c r="D6" s="26">
        <v>1</v>
      </c>
      <c r="E6" s="26">
        <v>100</v>
      </c>
      <c r="F6" s="26">
        <v>1</v>
      </c>
      <c r="G6" s="26">
        <v>100</v>
      </c>
      <c r="H6" s="17" t="s">
        <v>44</v>
      </c>
      <c r="I6" s="8"/>
      <c r="J6" s="19" t="s">
        <v>44</v>
      </c>
    </row>
    <row r="7" spans="1:10">
      <c r="A7" s="22" t="s">
        <v>23</v>
      </c>
      <c r="B7" s="64">
        <v>9.4286999999999992</v>
      </c>
      <c r="C7" s="68">
        <v>12.849299999999999</v>
      </c>
      <c r="D7" s="26">
        <v>1</v>
      </c>
      <c r="E7" s="26">
        <v>100</v>
      </c>
      <c r="F7" s="26">
        <v>4</v>
      </c>
      <c r="G7" s="26">
        <v>400</v>
      </c>
      <c r="H7" s="17">
        <v>1</v>
      </c>
      <c r="I7" s="8">
        <v>1200</v>
      </c>
      <c r="J7" s="18" t="s">
        <v>43</v>
      </c>
    </row>
    <row r="8" spans="1:10">
      <c r="A8" s="22" t="s">
        <v>16</v>
      </c>
      <c r="B8" s="64">
        <v>3.7050000000000001</v>
      </c>
      <c r="C8" s="68">
        <v>7.7</v>
      </c>
      <c r="D8" s="26">
        <v>1</v>
      </c>
      <c r="E8" s="26">
        <v>100</v>
      </c>
      <c r="F8" s="26">
        <v>1</v>
      </c>
      <c r="G8" s="26">
        <v>600</v>
      </c>
      <c r="H8" s="17">
        <v>1</v>
      </c>
      <c r="I8" s="8">
        <v>6000</v>
      </c>
      <c r="J8" s="18" t="s">
        <v>46</v>
      </c>
    </row>
    <row r="9" spans="1:10">
      <c r="A9" s="22" t="s">
        <v>38</v>
      </c>
      <c r="B9" s="64">
        <v>3.4125000000000001</v>
      </c>
      <c r="C9" s="68">
        <v>7.4</v>
      </c>
      <c r="D9" s="26">
        <v>1</v>
      </c>
      <c r="E9" s="26">
        <v>100</v>
      </c>
      <c r="F9" s="26">
        <v>1</v>
      </c>
      <c r="G9" s="26">
        <v>100</v>
      </c>
      <c r="H9" s="17">
        <v>1</v>
      </c>
      <c r="I9" s="8"/>
      <c r="J9" s="19" t="s">
        <v>44</v>
      </c>
    </row>
    <row r="10" spans="1:10">
      <c r="A10" s="22" t="s">
        <v>39</v>
      </c>
      <c r="B10" s="64">
        <v>9.5719999999999992</v>
      </c>
      <c r="C10" s="68">
        <v>12.8766</v>
      </c>
      <c r="D10" s="26">
        <v>1</v>
      </c>
      <c r="E10" s="26">
        <v>100</v>
      </c>
      <c r="F10" s="26">
        <v>4</v>
      </c>
      <c r="G10" s="26">
        <v>400</v>
      </c>
      <c r="H10" s="20">
        <v>1</v>
      </c>
      <c r="I10" s="21">
        <v>1200</v>
      </c>
      <c r="J10" s="18" t="s">
        <v>43</v>
      </c>
    </row>
    <row r="11" spans="1:10">
      <c r="A11" s="22" t="s">
        <v>24</v>
      </c>
      <c r="B11" s="64">
        <v>8.9320000000000004</v>
      </c>
      <c r="C11" s="26">
        <v>11.96</v>
      </c>
      <c r="D11" s="26">
        <v>1</v>
      </c>
      <c r="E11" s="26">
        <v>100</v>
      </c>
      <c r="F11" s="26">
        <v>4</v>
      </c>
      <c r="G11" s="26">
        <v>400</v>
      </c>
      <c r="H11" s="17">
        <v>1</v>
      </c>
      <c r="I11" s="8">
        <v>1200</v>
      </c>
      <c r="J11" s="18" t="s">
        <v>43</v>
      </c>
    </row>
    <row r="12" spans="1:10">
      <c r="A12" s="22" t="s">
        <v>40</v>
      </c>
      <c r="B12" s="64">
        <v>5.9443999999999999</v>
      </c>
      <c r="C12" s="26">
        <v>10.02</v>
      </c>
      <c r="D12" s="26">
        <v>2</v>
      </c>
      <c r="E12" s="26">
        <v>200</v>
      </c>
      <c r="F12" s="26">
        <v>2</v>
      </c>
      <c r="G12" s="26">
        <v>200</v>
      </c>
      <c r="H12" s="20">
        <v>1</v>
      </c>
      <c r="I12" s="21">
        <v>6000</v>
      </c>
      <c r="J12" s="18" t="s">
        <v>46</v>
      </c>
    </row>
    <row r="13" spans="1:10">
      <c r="A13" s="23" t="s">
        <v>27</v>
      </c>
      <c r="B13" s="65">
        <v>14.4899</v>
      </c>
      <c r="C13" s="26">
        <v>17.440000000000001</v>
      </c>
      <c r="D13" s="26">
        <v>1</v>
      </c>
      <c r="E13" s="26">
        <v>220</v>
      </c>
      <c r="F13" s="26">
        <v>4</v>
      </c>
      <c r="G13" s="26">
        <v>400</v>
      </c>
      <c r="H13" s="20" t="s">
        <v>44</v>
      </c>
      <c r="I13" s="21"/>
      <c r="J13" s="19" t="s">
        <v>44</v>
      </c>
    </row>
    <row r="14" spans="1:10">
      <c r="A14" s="24" t="s">
        <v>29</v>
      </c>
      <c r="B14" s="64">
        <v>31.075299999999999</v>
      </c>
      <c r="C14" s="68">
        <v>29.8</v>
      </c>
      <c r="D14" s="26">
        <v>2</v>
      </c>
      <c r="E14" s="26">
        <v>460</v>
      </c>
      <c r="F14" s="26">
        <v>6</v>
      </c>
      <c r="G14" s="26">
        <v>600</v>
      </c>
      <c r="H14" s="17" t="s">
        <v>44</v>
      </c>
      <c r="I14" s="8"/>
      <c r="J14" s="19" t="s">
        <v>44</v>
      </c>
    </row>
    <row r="15" spans="1:10">
      <c r="A15" s="23" t="s">
        <v>28</v>
      </c>
      <c r="B15" s="64">
        <v>17.6203</v>
      </c>
      <c r="C15" s="68">
        <v>16.919899999999998</v>
      </c>
      <c r="D15" s="26">
        <v>1</v>
      </c>
      <c r="E15" s="26">
        <v>220</v>
      </c>
      <c r="F15" s="26">
        <v>4</v>
      </c>
      <c r="G15" s="26">
        <v>400</v>
      </c>
      <c r="H15" s="20" t="s">
        <v>44</v>
      </c>
      <c r="I15" s="21"/>
      <c r="J15" s="19" t="s">
        <v>44</v>
      </c>
    </row>
    <row r="16" spans="1:10">
      <c r="A16" s="24" t="s">
        <v>25</v>
      </c>
      <c r="B16" s="64">
        <v>1.7110000000000001</v>
      </c>
      <c r="C16" s="26">
        <v>6.34</v>
      </c>
      <c r="D16" s="26">
        <v>1</v>
      </c>
      <c r="E16" s="26">
        <v>100</v>
      </c>
      <c r="F16" s="26">
        <v>1</v>
      </c>
      <c r="G16" s="26">
        <v>600</v>
      </c>
      <c r="H16" s="20" t="s">
        <v>44</v>
      </c>
      <c r="I16" s="21"/>
      <c r="J16" s="19" t="s">
        <v>44</v>
      </c>
    </row>
    <row r="17" spans="1:10">
      <c r="A17" s="24" t="s">
        <v>30</v>
      </c>
      <c r="B17" s="64">
        <v>2.25</v>
      </c>
      <c r="C17" s="68">
        <v>6</v>
      </c>
      <c r="D17" s="26" t="s">
        <v>44</v>
      </c>
      <c r="E17" s="26" t="s">
        <v>44</v>
      </c>
      <c r="F17" s="26" t="s">
        <v>44</v>
      </c>
      <c r="G17" s="26" t="s">
        <v>44</v>
      </c>
      <c r="H17" s="20" t="s">
        <v>44</v>
      </c>
      <c r="I17" s="8"/>
      <c r="J17" s="19" t="s">
        <v>44</v>
      </c>
    </row>
    <row r="18" spans="1:10">
      <c r="A18" s="23" t="s">
        <v>31</v>
      </c>
      <c r="B18" s="64">
        <v>2.4300000000000002</v>
      </c>
      <c r="C18" s="26">
        <v>6.24</v>
      </c>
      <c r="D18" s="26" t="s">
        <v>44</v>
      </c>
      <c r="E18" s="26" t="s">
        <v>44</v>
      </c>
      <c r="F18" s="26" t="s">
        <v>44</v>
      </c>
      <c r="G18" s="26" t="s">
        <v>44</v>
      </c>
      <c r="H18" s="20" t="s">
        <v>44</v>
      </c>
      <c r="I18" s="8"/>
      <c r="J18" s="19" t="s">
        <v>44</v>
      </c>
    </row>
    <row r="19" spans="1:10">
      <c r="A19" s="24" t="s">
        <v>32</v>
      </c>
      <c r="B19" s="64">
        <v>3.43</v>
      </c>
      <c r="C19" s="68">
        <v>7.7</v>
      </c>
      <c r="D19" s="26">
        <v>1</v>
      </c>
      <c r="E19" s="26">
        <v>100</v>
      </c>
      <c r="F19" s="26">
        <v>2</v>
      </c>
      <c r="G19" s="26">
        <v>200</v>
      </c>
      <c r="H19" s="20" t="s">
        <v>44</v>
      </c>
      <c r="I19" s="21"/>
      <c r="J19" s="19" t="s">
        <v>44</v>
      </c>
    </row>
    <row r="20" spans="1:10">
      <c r="A20" s="23" t="s">
        <v>33</v>
      </c>
      <c r="B20" s="64">
        <v>3.4485000000000001</v>
      </c>
      <c r="C20" s="68">
        <v>8.1</v>
      </c>
      <c r="D20" s="26">
        <v>1</v>
      </c>
      <c r="E20" s="26">
        <v>100</v>
      </c>
      <c r="F20" s="26">
        <v>2</v>
      </c>
      <c r="G20" s="26">
        <v>200</v>
      </c>
      <c r="H20" s="20" t="s">
        <v>44</v>
      </c>
      <c r="I20" s="8"/>
      <c r="J20" s="19" t="s">
        <v>44</v>
      </c>
    </row>
    <row r="21" spans="1:10">
      <c r="A21" s="24" t="s">
        <v>15</v>
      </c>
      <c r="B21" s="64">
        <v>10.554</v>
      </c>
      <c r="C21" s="26">
        <v>14.16</v>
      </c>
      <c r="D21" s="26" t="s">
        <v>44</v>
      </c>
      <c r="E21" s="26" t="s">
        <v>44</v>
      </c>
      <c r="F21" s="26" t="s">
        <v>44</v>
      </c>
      <c r="G21" s="26" t="s">
        <v>44</v>
      </c>
      <c r="H21" s="20" t="s">
        <v>44</v>
      </c>
      <c r="I21" s="8"/>
      <c r="J21" s="19" t="s">
        <v>44</v>
      </c>
    </row>
    <row r="22" spans="1:10">
      <c r="A22" s="82" t="s">
        <v>21</v>
      </c>
      <c r="B22" s="85">
        <v>13.0009</v>
      </c>
      <c r="C22" s="88">
        <v>15.5829</v>
      </c>
      <c r="D22" s="91">
        <v>1</v>
      </c>
      <c r="E22" s="91">
        <v>160</v>
      </c>
      <c r="F22" s="27">
        <v>3</v>
      </c>
      <c r="G22" s="27">
        <v>100</v>
      </c>
      <c r="H22" s="17">
        <v>1</v>
      </c>
      <c r="I22" s="8">
        <v>960</v>
      </c>
      <c r="J22" s="18" t="s">
        <v>18</v>
      </c>
    </row>
    <row r="23" spans="1:10">
      <c r="A23" s="83"/>
      <c r="B23" s="86"/>
      <c r="C23" s="89"/>
      <c r="D23" s="92"/>
      <c r="E23" s="92"/>
      <c r="F23" s="92">
        <v>2</v>
      </c>
      <c r="G23" s="92">
        <v>600</v>
      </c>
      <c r="H23" s="17">
        <v>1</v>
      </c>
      <c r="I23" s="8">
        <v>2000</v>
      </c>
      <c r="J23" s="18" t="s">
        <v>47</v>
      </c>
    </row>
    <row r="24" spans="1:10">
      <c r="A24" s="84"/>
      <c r="B24" s="87"/>
      <c r="C24" s="90"/>
      <c r="D24" s="93"/>
      <c r="E24" s="93"/>
      <c r="F24" s="93"/>
      <c r="G24" s="93"/>
      <c r="H24" s="17">
        <v>1</v>
      </c>
      <c r="I24" s="8">
        <v>400</v>
      </c>
      <c r="J24" s="18" t="s">
        <v>19</v>
      </c>
    </row>
    <row r="25" spans="1:10">
      <c r="A25" s="24" t="s">
        <v>34</v>
      </c>
      <c r="B25" s="64">
        <v>1.925</v>
      </c>
      <c r="C25" s="68">
        <v>6.3</v>
      </c>
      <c r="D25" s="26">
        <v>1</v>
      </c>
      <c r="E25" s="26">
        <v>100</v>
      </c>
      <c r="F25" s="26">
        <v>1</v>
      </c>
      <c r="G25" s="26">
        <v>100</v>
      </c>
      <c r="H25" s="20" t="s">
        <v>44</v>
      </c>
      <c r="I25" s="8"/>
      <c r="J25" s="19" t="s">
        <v>44</v>
      </c>
    </row>
    <row r="26" spans="1:10">
      <c r="A26" s="82" t="s">
        <v>35</v>
      </c>
      <c r="B26" s="85">
        <v>10.34</v>
      </c>
      <c r="C26" s="88">
        <v>13.5</v>
      </c>
      <c r="D26" s="91">
        <v>1</v>
      </c>
      <c r="E26" s="91">
        <v>160</v>
      </c>
      <c r="F26" s="27">
        <v>2</v>
      </c>
      <c r="G26" s="27">
        <v>600</v>
      </c>
      <c r="H26" s="20">
        <v>1</v>
      </c>
      <c r="I26" s="21">
        <v>660</v>
      </c>
      <c r="J26" s="18" t="s">
        <v>48</v>
      </c>
    </row>
    <row r="27" spans="1:10">
      <c r="A27" s="84"/>
      <c r="B27" s="87"/>
      <c r="C27" s="90"/>
      <c r="D27" s="93"/>
      <c r="E27" s="93"/>
      <c r="F27" s="28">
        <v>1</v>
      </c>
      <c r="G27" s="28">
        <v>100</v>
      </c>
      <c r="H27" s="20">
        <v>1</v>
      </c>
      <c r="I27" s="21">
        <v>5000</v>
      </c>
      <c r="J27" s="18" t="s">
        <v>49</v>
      </c>
    </row>
    <row r="28" spans="1:10">
      <c r="A28" s="23" t="s">
        <v>36</v>
      </c>
      <c r="B28" s="64">
        <v>2.1419999999999999</v>
      </c>
      <c r="C28" s="68">
        <v>6</v>
      </c>
      <c r="D28" s="26">
        <v>1</v>
      </c>
      <c r="E28" s="26">
        <v>100</v>
      </c>
      <c r="F28" s="26">
        <v>2</v>
      </c>
      <c r="G28" s="26">
        <v>200</v>
      </c>
      <c r="H28" s="17" t="s">
        <v>44</v>
      </c>
      <c r="I28" s="8"/>
      <c r="J28" s="19" t="s">
        <v>44</v>
      </c>
    </row>
    <row r="29" spans="1:10">
      <c r="A29" s="24" t="s">
        <v>17</v>
      </c>
      <c r="B29" s="64">
        <v>2.0699999999999998</v>
      </c>
      <c r="C29" s="26">
        <v>5.76</v>
      </c>
      <c r="D29" s="26">
        <v>1</v>
      </c>
      <c r="E29" s="26">
        <v>100</v>
      </c>
      <c r="F29" s="26">
        <v>1</v>
      </c>
      <c r="G29" s="26">
        <v>600</v>
      </c>
      <c r="H29" s="17" t="s">
        <v>44</v>
      </c>
      <c r="I29" s="8"/>
      <c r="J29" s="19" t="s">
        <v>44</v>
      </c>
    </row>
    <row r="30" spans="1:10">
      <c r="A30" s="24" t="s">
        <v>41</v>
      </c>
      <c r="B30" s="64">
        <v>2.496</v>
      </c>
      <c r="C30" s="26">
        <v>7.84</v>
      </c>
      <c r="D30" s="26">
        <v>1</v>
      </c>
      <c r="E30" s="26">
        <v>100</v>
      </c>
      <c r="F30" s="26">
        <v>2</v>
      </c>
      <c r="G30" s="26">
        <v>200</v>
      </c>
      <c r="H30" s="17" t="s">
        <v>44</v>
      </c>
      <c r="I30" s="8"/>
      <c r="J30" s="19" t="s">
        <v>44</v>
      </c>
    </row>
    <row r="31" spans="1:10">
      <c r="A31" s="29" t="s">
        <v>42</v>
      </c>
      <c r="B31" s="30">
        <v>4.048</v>
      </c>
      <c r="C31" s="30">
        <v>8.1199999999999992</v>
      </c>
      <c r="D31" s="30">
        <v>1</v>
      </c>
      <c r="E31" s="30">
        <v>100</v>
      </c>
      <c r="F31" s="30">
        <v>2</v>
      </c>
      <c r="G31" s="30">
        <v>200</v>
      </c>
      <c r="H31" s="31" t="s">
        <v>44</v>
      </c>
      <c r="I31" s="32"/>
      <c r="J31" s="33" t="s">
        <v>44</v>
      </c>
    </row>
    <row r="32" spans="1:10">
      <c r="A32" s="36"/>
      <c r="B32" s="37"/>
      <c r="C32" s="37"/>
      <c r="D32" s="38"/>
      <c r="E32" s="38"/>
      <c r="F32" s="38"/>
      <c r="G32" s="38"/>
      <c r="H32" s="39"/>
      <c r="I32" s="39"/>
      <c r="J32" s="40"/>
    </row>
    <row r="33" spans="1:10" ht="15">
      <c r="A33" s="34" t="s">
        <v>20</v>
      </c>
      <c r="B33" s="66">
        <f t="shared" ref="B33:G33" si="0">SUM(B4:B31)</f>
        <v>185.44730000000004</v>
      </c>
      <c r="C33" s="67">
        <f t="shared" si="0"/>
        <v>270.58670000000001</v>
      </c>
      <c r="D33" s="41">
        <f t="shared" si="0"/>
        <v>25</v>
      </c>
      <c r="E33" s="41">
        <f t="shared" si="0"/>
        <v>3180</v>
      </c>
      <c r="F33" s="41">
        <f t="shared" si="0"/>
        <v>57</v>
      </c>
      <c r="G33" s="41">
        <f t="shared" si="0"/>
        <v>8300</v>
      </c>
      <c r="H33" s="42">
        <f>SUM(H4:H31)</f>
        <v>13</v>
      </c>
      <c r="I33" s="43">
        <f>SUM(I4:I31)</f>
        <v>31820</v>
      </c>
      <c r="J33" s="35" t="s">
        <v>44</v>
      </c>
    </row>
    <row r="34" spans="1:10">
      <c r="D34" s="12"/>
      <c r="E34" s="12"/>
      <c r="F34" s="14"/>
      <c r="G34" s="14"/>
      <c r="H34" s="12"/>
      <c r="I34" s="12"/>
      <c r="J34" s="25"/>
    </row>
    <row r="35" spans="1:10">
      <c r="D35" s="13"/>
      <c r="E35" s="13"/>
      <c r="F35" s="12"/>
      <c r="G35" s="12"/>
      <c r="H35" s="12"/>
      <c r="I35" s="12"/>
      <c r="J35" s="25"/>
    </row>
    <row r="36" spans="1:10">
      <c r="D36" s="13"/>
      <c r="E36" s="13"/>
      <c r="F36" s="12"/>
      <c r="G36" s="12"/>
      <c r="H36" s="12"/>
      <c r="I36" s="12"/>
      <c r="J36" s="25"/>
    </row>
    <row r="37" spans="1:10">
      <c r="D37" s="13"/>
      <c r="E37" s="12"/>
      <c r="F37" s="12"/>
      <c r="G37" s="12"/>
      <c r="H37" s="13"/>
      <c r="I37" s="13"/>
      <c r="J37" s="25"/>
    </row>
    <row r="38" spans="1:10">
      <c r="D38" s="12"/>
      <c r="E38" s="12"/>
      <c r="F38" s="12"/>
      <c r="G38" s="12"/>
      <c r="H38" s="13"/>
      <c r="I38" s="13"/>
      <c r="J38" s="25"/>
    </row>
    <row r="39" spans="1:10">
      <c r="D39" s="12"/>
      <c r="E39" s="12"/>
      <c r="F39" s="13"/>
      <c r="G39" s="13"/>
      <c r="H39" s="12"/>
      <c r="I39" s="13"/>
      <c r="J39" s="25"/>
    </row>
    <row r="40" spans="1:10">
      <c r="D40" s="12"/>
      <c r="E40" s="12"/>
      <c r="F40" s="12"/>
      <c r="G40" s="12"/>
      <c r="H40" s="12"/>
      <c r="I40" s="13"/>
      <c r="J40" s="25"/>
    </row>
    <row r="41" spans="1:10">
      <c r="D41" s="12"/>
      <c r="E41" s="12"/>
      <c r="F41" s="12"/>
      <c r="G41" s="12"/>
      <c r="H41" s="12"/>
      <c r="I41" s="12"/>
      <c r="J41" s="25"/>
    </row>
    <row r="42" spans="1:10">
      <c r="D42" s="12"/>
      <c r="E42" s="12"/>
      <c r="F42" s="12"/>
      <c r="G42" s="12"/>
      <c r="H42" s="12"/>
      <c r="I42" s="12"/>
      <c r="J42" s="25"/>
    </row>
    <row r="43" spans="1:10">
      <c r="D43" s="12"/>
      <c r="E43" s="12"/>
      <c r="F43" s="12"/>
      <c r="G43" s="12"/>
      <c r="H43" s="12"/>
      <c r="I43" s="12"/>
      <c r="J43" s="25"/>
    </row>
    <row r="44" spans="1:10">
      <c r="D44" s="12"/>
      <c r="E44" s="12"/>
      <c r="F44" s="13"/>
      <c r="G44" s="13"/>
      <c r="H44" s="12"/>
      <c r="I44" s="12"/>
      <c r="J44" s="25"/>
    </row>
    <row r="45" spans="1:10">
      <c r="D45" s="12"/>
      <c r="E45" s="12"/>
      <c r="F45" s="13"/>
      <c r="G45" s="13"/>
      <c r="H45" s="12"/>
      <c r="I45" s="12"/>
      <c r="J45" s="25"/>
    </row>
    <row r="46" spans="1:10">
      <c r="D46" s="12"/>
      <c r="E46" s="12"/>
      <c r="F46" s="12"/>
      <c r="G46" s="12"/>
      <c r="H46" s="12"/>
      <c r="I46" s="12"/>
      <c r="J46" s="25"/>
    </row>
    <row r="47" spans="1:10">
      <c r="D47" s="12"/>
      <c r="E47" s="12"/>
      <c r="F47" s="12"/>
      <c r="G47" s="12"/>
      <c r="H47" s="12"/>
      <c r="I47" s="12"/>
      <c r="J47" s="25"/>
    </row>
    <row r="48" spans="1:10">
      <c r="D48" s="12"/>
      <c r="E48" s="12"/>
      <c r="F48" s="12"/>
      <c r="G48" s="12"/>
      <c r="H48" s="12"/>
      <c r="I48" s="12"/>
      <c r="J48" s="25"/>
    </row>
    <row r="49" spans="6:10">
      <c r="F49" s="12"/>
      <c r="G49" s="12"/>
      <c r="H49" s="12"/>
      <c r="I49" s="12"/>
      <c r="J49" s="25"/>
    </row>
    <row r="50" spans="6:10">
      <c r="F50" s="12"/>
      <c r="G50" s="12"/>
      <c r="H50" s="12"/>
      <c r="I50" s="12"/>
      <c r="J50" s="25"/>
    </row>
    <row r="51" spans="6:10">
      <c r="H51" s="12"/>
      <c r="I51" s="12"/>
      <c r="J51" s="25"/>
    </row>
  </sheetData>
  <mergeCells count="19">
    <mergeCell ref="A26:A27"/>
    <mergeCell ref="B26:B27"/>
    <mergeCell ref="C26:C27"/>
    <mergeCell ref="D26:D27"/>
    <mergeCell ref="E26:E27"/>
    <mergeCell ref="A2:A3"/>
    <mergeCell ref="A1:J1"/>
    <mergeCell ref="B2:C2"/>
    <mergeCell ref="A22:A24"/>
    <mergeCell ref="B22:B24"/>
    <mergeCell ref="C22:C24"/>
    <mergeCell ref="D22:D24"/>
    <mergeCell ref="E22:E24"/>
    <mergeCell ref="J2:J3"/>
    <mergeCell ref="D2:E2"/>
    <mergeCell ref="F2:G2"/>
    <mergeCell ref="H2:I2"/>
    <mergeCell ref="F23:F24"/>
    <mergeCell ref="G23:G24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6"/>
  <sheetViews>
    <sheetView workbookViewId="0">
      <selection activeCell="F39" sqref="F39"/>
    </sheetView>
  </sheetViews>
  <sheetFormatPr defaultColWidth="9.125" defaultRowHeight="14.25"/>
  <cols>
    <col min="1" max="1" width="4.25" style="1" customWidth="1"/>
    <col min="2" max="2" width="18.625" style="1" customWidth="1"/>
    <col min="3" max="3" width="13" style="1" customWidth="1"/>
    <col min="4" max="4" width="10" style="1" customWidth="1"/>
    <col min="5" max="5" width="11.875" style="1" customWidth="1"/>
    <col min="6" max="6" width="12.625" style="1" customWidth="1"/>
    <col min="7" max="7" width="24.875" style="1" customWidth="1"/>
    <col min="8" max="8" width="12.375" style="1" bestFit="1" customWidth="1"/>
    <col min="9" max="9" width="14.25" style="1" customWidth="1"/>
    <col min="10" max="10" width="13.5" style="1" customWidth="1"/>
    <col min="11" max="11" width="2.875" style="1" customWidth="1"/>
    <col min="12" max="12" width="32.375" style="1" customWidth="1"/>
    <col min="13" max="13" width="29.875" style="1" customWidth="1"/>
    <col min="14" max="14" width="9.125" style="1"/>
    <col min="15" max="15" width="10.25" style="1" bestFit="1" customWidth="1"/>
    <col min="16" max="16" width="13.625" style="1" customWidth="1"/>
    <col min="17" max="17" width="11.375" style="1" bestFit="1" customWidth="1"/>
    <col min="18" max="16384" width="9.125" style="1"/>
  </cols>
  <sheetData>
    <row r="2" spans="2:13" ht="23.25" customHeight="1">
      <c r="B2" s="125" t="s">
        <v>70</v>
      </c>
      <c r="C2" s="126"/>
      <c r="D2" s="126"/>
      <c r="E2" s="127"/>
      <c r="G2" s="75" t="s">
        <v>69</v>
      </c>
      <c r="H2" s="123"/>
      <c r="I2" s="123"/>
      <c r="J2" s="123"/>
    </row>
    <row r="3" spans="2:13" ht="30.75" customHeight="1">
      <c r="B3" s="48" t="s">
        <v>72</v>
      </c>
      <c r="C3" s="54" t="s">
        <v>71</v>
      </c>
      <c r="D3" s="53" t="s">
        <v>67</v>
      </c>
      <c r="E3" s="53" t="s">
        <v>66</v>
      </c>
      <c r="G3" s="48" t="s">
        <v>72</v>
      </c>
      <c r="H3" s="53" t="s">
        <v>65</v>
      </c>
      <c r="I3" s="53" t="s">
        <v>64</v>
      </c>
      <c r="J3" s="53" t="s">
        <v>54</v>
      </c>
      <c r="L3" s="1" t="s">
        <v>102</v>
      </c>
    </row>
    <row r="4" spans="2:13">
      <c r="B4" s="53" t="s">
        <v>63</v>
      </c>
      <c r="C4" s="53">
        <v>3180</v>
      </c>
      <c r="D4" s="57">
        <v>1</v>
      </c>
      <c r="E4" s="53">
        <f>D4*C4</f>
        <v>3180</v>
      </c>
      <c r="G4" s="53" t="s">
        <v>63</v>
      </c>
      <c r="H4" s="53">
        <v>3180</v>
      </c>
      <c r="I4" s="53">
        <v>0.66</v>
      </c>
      <c r="J4" s="53">
        <f t="shared" ref="J4:J9" si="0">H4*I4</f>
        <v>2098.8000000000002</v>
      </c>
    </row>
    <row r="5" spans="2:13">
      <c r="B5" s="53" t="s">
        <v>62</v>
      </c>
      <c r="C5" s="53">
        <v>8300</v>
      </c>
      <c r="D5" s="53">
        <v>0.8</v>
      </c>
      <c r="E5" s="53">
        <f>D5*C5</f>
        <v>6640</v>
      </c>
      <c r="G5" s="48" t="s">
        <v>62</v>
      </c>
      <c r="H5" s="53">
        <v>8300</v>
      </c>
      <c r="I5" s="53">
        <v>0.2</v>
      </c>
      <c r="J5" s="53">
        <f>SUM(I5*5*200*57*0.8)</f>
        <v>9120</v>
      </c>
      <c r="K5" s="63" t="s">
        <v>101</v>
      </c>
      <c r="L5" s="1" t="s">
        <v>103</v>
      </c>
      <c r="M5" s="1" t="s">
        <v>104</v>
      </c>
    </row>
    <row r="6" spans="2:13" ht="15" customHeight="1">
      <c r="B6" s="53" t="s">
        <v>61</v>
      </c>
      <c r="C6" s="53">
        <v>31820</v>
      </c>
      <c r="D6" s="57">
        <v>1</v>
      </c>
      <c r="E6" s="53">
        <f>D6*C6</f>
        <v>31820</v>
      </c>
      <c r="G6" s="53" t="s">
        <v>105</v>
      </c>
      <c r="H6" s="53">
        <v>960</v>
      </c>
      <c r="I6" s="57">
        <v>1</v>
      </c>
      <c r="J6" s="53">
        <f t="shared" si="0"/>
        <v>960</v>
      </c>
      <c r="K6" s="63" t="s">
        <v>101</v>
      </c>
      <c r="L6" s="1" t="s">
        <v>106</v>
      </c>
    </row>
    <row r="7" spans="2:13" ht="15" customHeight="1">
      <c r="B7" s="111" t="s">
        <v>73</v>
      </c>
      <c r="C7" s="112"/>
      <c r="D7" s="115">
        <v>0.27</v>
      </c>
      <c r="E7" s="116"/>
      <c r="G7" s="53" t="s">
        <v>107</v>
      </c>
      <c r="H7" s="53">
        <v>18000</v>
      </c>
      <c r="I7" s="53">
        <v>0.5</v>
      </c>
      <c r="J7" s="53">
        <f t="shared" si="0"/>
        <v>9000</v>
      </c>
    </row>
    <row r="8" spans="2:13" ht="28.5">
      <c r="B8" s="113"/>
      <c r="C8" s="114"/>
      <c r="D8" s="117"/>
      <c r="E8" s="118"/>
      <c r="G8" s="56" t="s">
        <v>59</v>
      </c>
      <c r="H8" s="53">
        <v>8060</v>
      </c>
      <c r="I8" s="53">
        <v>0.7</v>
      </c>
      <c r="J8" s="53">
        <f t="shared" si="0"/>
        <v>5642</v>
      </c>
    </row>
    <row r="9" spans="2:13" ht="21.75" customHeight="1">
      <c r="B9" s="124" t="s">
        <v>58</v>
      </c>
      <c r="C9" s="115"/>
      <c r="D9" s="115"/>
      <c r="E9" s="116"/>
      <c r="G9" s="53" t="s">
        <v>57</v>
      </c>
      <c r="H9" s="53">
        <v>4800</v>
      </c>
      <c r="I9" s="53">
        <v>0.8</v>
      </c>
      <c r="J9" s="53">
        <f t="shared" si="0"/>
        <v>3840</v>
      </c>
    </row>
    <row r="10" spans="2:13" ht="15">
      <c r="B10" s="119" t="s">
        <v>108</v>
      </c>
      <c r="C10" s="120"/>
      <c r="D10" s="121">
        <f>(E4+E5)*D7+E6</f>
        <v>34471.4</v>
      </c>
      <c r="E10" s="122"/>
      <c r="G10" s="55" t="s">
        <v>108</v>
      </c>
      <c r="H10" s="53"/>
      <c r="I10" s="53"/>
      <c r="J10" s="53">
        <f>SUM(J4:J9)</f>
        <v>30660.799999999999</v>
      </c>
    </row>
    <row r="15" spans="2:13" ht="27" customHeight="1">
      <c r="B15" s="128" t="s">
        <v>68</v>
      </c>
      <c r="C15" s="129"/>
      <c r="D15" s="129"/>
      <c r="E15" s="129"/>
      <c r="F15" s="129"/>
      <c r="G15" s="129"/>
      <c r="H15" s="129"/>
      <c r="I15" s="130"/>
    </row>
    <row r="16" spans="2:13">
      <c r="B16" s="100" t="s">
        <v>1</v>
      </c>
      <c r="C16" s="101"/>
      <c r="D16" s="98" t="s">
        <v>109</v>
      </c>
      <c r="E16" s="106"/>
      <c r="F16" s="106"/>
      <c r="G16" s="99"/>
      <c r="H16" s="98" t="s">
        <v>112</v>
      </c>
      <c r="I16" s="99"/>
    </row>
    <row r="17" spans="1:9">
      <c r="B17" s="100">
        <v>185.447</v>
      </c>
      <c r="C17" s="101"/>
      <c r="D17" s="107">
        <f>SUM(32*B17)</f>
        <v>5934.3040000000001</v>
      </c>
      <c r="E17" s="108"/>
      <c r="F17" s="108"/>
      <c r="G17" s="109"/>
      <c r="H17" s="100"/>
      <c r="I17" s="101"/>
    </row>
    <row r="18" spans="1:9">
      <c r="B18" s="100" t="s">
        <v>21</v>
      </c>
      <c r="C18" s="101"/>
      <c r="D18" s="107">
        <v>3000</v>
      </c>
      <c r="E18" s="108"/>
      <c r="F18" s="108"/>
      <c r="G18" s="109"/>
      <c r="H18" s="102">
        <f>SUM((D20-3000)*0.35+3000)</f>
        <v>5602.0064000000002</v>
      </c>
      <c r="I18" s="103"/>
    </row>
    <row r="19" spans="1:9">
      <c r="B19" s="100" t="s">
        <v>60</v>
      </c>
      <c r="C19" s="101"/>
      <c r="D19" s="107">
        <v>1500</v>
      </c>
      <c r="E19" s="108"/>
      <c r="F19" s="108"/>
      <c r="G19" s="109"/>
      <c r="H19" s="102"/>
      <c r="I19" s="103"/>
    </row>
    <row r="20" spans="1:9">
      <c r="B20" s="139" t="s">
        <v>111</v>
      </c>
      <c r="C20" s="140"/>
      <c r="D20" s="141">
        <f>SUM(D17:F19)</f>
        <v>10434.304</v>
      </c>
      <c r="E20" s="142"/>
      <c r="F20" s="142"/>
      <c r="G20" s="143"/>
      <c r="H20" s="104"/>
      <c r="I20" s="105"/>
    </row>
    <row r="21" spans="1:9" ht="15" thickBot="1"/>
    <row r="22" spans="1:9">
      <c r="B22" s="131" t="s">
        <v>56</v>
      </c>
      <c r="C22" s="132"/>
      <c r="D22" s="132"/>
      <c r="E22" s="135" t="s">
        <v>115</v>
      </c>
      <c r="F22" s="137" t="s">
        <v>55</v>
      </c>
      <c r="G22" s="137"/>
      <c r="H22" s="137"/>
      <c r="I22" s="110" t="s">
        <v>115</v>
      </c>
    </row>
    <row r="23" spans="1:9">
      <c r="B23" s="133"/>
      <c r="C23" s="134"/>
      <c r="D23" s="134"/>
      <c r="E23" s="136"/>
      <c r="F23" s="138"/>
      <c r="G23" s="138"/>
      <c r="H23" s="138"/>
      <c r="I23" s="110"/>
    </row>
    <row r="24" spans="1:9">
      <c r="B24" s="133"/>
      <c r="C24" s="134"/>
      <c r="D24" s="134"/>
      <c r="E24" s="136"/>
      <c r="F24" s="138"/>
      <c r="G24" s="138"/>
      <c r="H24" s="138"/>
      <c r="I24" s="110"/>
    </row>
    <row r="25" spans="1:9">
      <c r="B25" s="133"/>
      <c r="C25" s="134"/>
      <c r="D25" s="134"/>
      <c r="E25" s="136"/>
      <c r="F25" s="138"/>
      <c r="G25" s="138"/>
      <c r="H25" s="138"/>
      <c r="I25" s="110"/>
    </row>
    <row r="26" spans="1:9" ht="15">
      <c r="B26" s="52" t="s">
        <v>72</v>
      </c>
      <c r="C26" s="48" t="s">
        <v>53</v>
      </c>
      <c r="D26" s="48" t="s">
        <v>113</v>
      </c>
      <c r="E26" s="69">
        <f>SUM(E27:E29)</f>
        <v>10760</v>
      </c>
      <c r="F26" s="52" t="s">
        <v>72</v>
      </c>
      <c r="G26" s="48" t="s">
        <v>53</v>
      </c>
      <c r="H26" s="48" t="s">
        <v>113</v>
      </c>
      <c r="I26" s="70">
        <f>SUM(I27:I43)</f>
        <v>21060</v>
      </c>
    </row>
    <row r="27" spans="1:9">
      <c r="B27" s="52" t="s">
        <v>43</v>
      </c>
      <c r="C27" s="48">
        <v>4</v>
      </c>
      <c r="D27" s="48">
        <v>1200</v>
      </c>
      <c r="E27" s="47">
        <f t="shared" ref="E27:E29" si="1">D27*C27</f>
        <v>4800</v>
      </c>
      <c r="F27" s="49" t="s">
        <v>52</v>
      </c>
      <c r="G27" s="48">
        <v>3</v>
      </c>
      <c r="H27" s="48">
        <v>6000</v>
      </c>
      <c r="I27" s="47">
        <f t="shared" ref="I27:I30" si="2">H27*G27</f>
        <v>18000</v>
      </c>
    </row>
    <row r="28" spans="1:9">
      <c r="B28" s="52" t="s">
        <v>18</v>
      </c>
      <c r="C28" s="48">
        <v>1</v>
      </c>
      <c r="D28" s="48">
        <v>960</v>
      </c>
      <c r="E28" s="47">
        <f>D28*C28</f>
        <v>960</v>
      </c>
      <c r="F28" s="49" t="s">
        <v>19</v>
      </c>
      <c r="G28" s="48">
        <v>1</v>
      </c>
      <c r="H28" s="48">
        <v>400</v>
      </c>
      <c r="I28" s="47">
        <f>H28*G28</f>
        <v>400</v>
      </c>
    </row>
    <row r="29" spans="1:9">
      <c r="B29" s="52" t="s">
        <v>114</v>
      </c>
      <c r="C29" s="48">
        <v>1</v>
      </c>
      <c r="D29" s="48">
        <v>5000</v>
      </c>
      <c r="E29" s="47">
        <f t="shared" si="1"/>
        <v>5000</v>
      </c>
      <c r="F29" s="49" t="s">
        <v>51</v>
      </c>
      <c r="G29" s="48">
        <v>1</v>
      </c>
      <c r="H29" s="48">
        <v>660</v>
      </c>
      <c r="I29" s="47">
        <f t="shared" si="2"/>
        <v>660</v>
      </c>
    </row>
    <row r="30" spans="1:9">
      <c r="B30" s="52"/>
      <c r="C30" s="48"/>
      <c r="D30" s="48"/>
      <c r="E30" s="47"/>
      <c r="F30" s="49" t="s">
        <v>50</v>
      </c>
      <c r="G30" s="48">
        <v>1</v>
      </c>
      <c r="H30" s="48">
        <v>2000</v>
      </c>
      <c r="I30" s="47">
        <f t="shared" si="2"/>
        <v>2000</v>
      </c>
    </row>
    <row r="31" spans="1:9" ht="15" thickBot="1">
      <c r="B31" s="51"/>
      <c r="C31" s="50"/>
      <c r="D31" s="50"/>
      <c r="E31" s="44"/>
      <c r="F31" s="46"/>
      <c r="G31" s="45"/>
      <c r="H31" s="45"/>
      <c r="I31" s="44"/>
    </row>
    <row r="32" spans="1:9">
      <c r="A32" s="12"/>
      <c r="B32" s="95" t="s">
        <v>116</v>
      </c>
      <c r="C32" s="96">
        <f>SUM(H18+E26+I26)</f>
        <v>37422.006399999998</v>
      </c>
      <c r="D32" s="97"/>
    </row>
    <row r="33" spans="1:10">
      <c r="A33" s="12"/>
      <c r="B33" s="95"/>
      <c r="C33" s="97"/>
      <c r="D33" s="97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</row>
    <row r="35" spans="1:10">
      <c r="B35" s="12"/>
      <c r="C35" s="12"/>
      <c r="D35" s="12"/>
      <c r="E35" s="12"/>
      <c r="F35" s="12"/>
      <c r="G35" s="12"/>
      <c r="H35" s="12"/>
      <c r="I35" s="12"/>
    </row>
    <row r="36" spans="1:10">
      <c r="B36" s="12"/>
      <c r="C36" s="12"/>
      <c r="D36" s="12"/>
      <c r="E36" s="12"/>
      <c r="F36" s="12"/>
      <c r="G36" s="12"/>
      <c r="H36" s="12"/>
      <c r="I36" s="12"/>
    </row>
    <row r="37" spans="1:10">
      <c r="B37" s="12"/>
      <c r="C37" s="12"/>
      <c r="D37" s="12"/>
      <c r="E37" s="12"/>
      <c r="F37" s="12"/>
      <c r="G37" s="12"/>
      <c r="H37" s="12"/>
      <c r="I37" s="12"/>
    </row>
    <row r="38" spans="1:10">
      <c r="B38" s="12"/>
      <c r="C38" s="12"/>
      <c r="D38" s="12"/>
      <c r="E38" s="12"/>
      <c r="F38" s="12"/>
      <c r="G38" s="12"/>
      <c r="H38" s="12"/>
      <c r="I38" s="12"/>
    </row>
    <row r="39" spans="1:10">
      <c r="B39" s="12"/>
      <c r="C39" s="12"/>
      <c r="D39" s="12"/>
      <c r="E39" s="12"/>
      <c r="F39" s="12"/>
      <c r="G39" s="12"/>
      <c r="H39" s="12"/>
      <c r="I39" s="12"/>
    </row>
    <row r="40" spans="1:10">
      <c r="B40" s="12"/>
      <c r="C40" s="12"/>
      <c r="D40" s="12"/>
      <c r="E40" s="12"/>
      <c r="F40" s="12"/>
      <c r="G40" s="12"/>
      <c r="H40" s="12"/>
      <c r="I40" s="12"/>
    </row>
    <row r="41" spans="1:10">
      <c r="B41" s="12"/>
      <c r="C41" s="12"/>
      <c r="D41" s="12"/>
      <c r="E41" s="12"/>
      <c r="F41" s="12"/>
      <c r="G41" s="12"/>
      <c r="H41" s="12"/>
      <c r="I41" s="12"/>
    </row>
    <row r="42" spans="1:10">
      <c r="B42" s="12"/>
      <c r="C42" s="12"/>
      <c r="D42" s="12"/>
      <c r="E42" s="12"/>
      <c r="F42" s="12"/>
      <c r="G42" s="12"/>
      <c r="H42" s="12"/>
      <c r="I42" s="12"/>
    </row>
    <row r="43" spans="1:10">
      <c r="B43" s="12"/>
      <c r="C43" s="12"/>
      <c r="D43" s="12"/>
      <c r="E43" s="12"/>
      <c r="F43" s="12"/>
      <c r="G43" s="12"/>
      <c r="H43" s="12"/>
      <c r="I43" s="12"/>
    </row>
    <row r="44" spans="1:10">
      <c r="B44" s="12"/>
      <c r="C44" s="12"/>
      <c r="D44" s="12"/>
      <c r="E44" s="12"/>
      <c r="F44" s="12"/>
      <c r="G44" s="12"/>
      <c r="H44" s="12"/>
      <c r="I44" s="12"/>
    </row>
    <row r="45" spans="1:10">
      <c r="B45" s="12"/>
      <c r="C45" s="12"/>
      <c r="D45" s="12"/>
      <c r="E45" s="12"/>
      <c r="F45" s="12"/>
      <c r="G45" s="12"/>
      <c r="H45" s="12"/>
      <c r="I45" s="12"/>
    </row>
    <row r="46" spans="1:10">
      <c r="B46" s="12"/>
      <c r="C46" s="12"/>
      <c r="D46" s="12"/>
      <c r="E46" s="12"/>
      <c r="F46" s="12"/>
      <c r="G46" s="12"/>
      <c r="H46" s="12"/>
      <c r="I46" s="12"/>
    </row>
  </sheetData>
  <mergeCells count="26">
    <mergeCell ref="B15:I15"/>
    <mergeCell ref="B22:D25"/>
    <mergeCell ref="E22:E25"/>
    <mergeCell ref="F22:H25"/>
    <mergeCell ref="B16:C16"/>
    <mergeCell ref="B17:C17"/>
    <mergeCell ref="B18:C18"/>
    <mergeCell ref="B19:C19"/>
    <mergeCell ref="B20:C20"/>
    <mergeCell ref="D19:G19"/>
    <mergeCell ref="D20:G20"/>
    <mergeCell ref="B7:C8"/>
    <mergeCell ref="D7:E8"/>
    <mergeCell ref="B10:C10"/>
    <mergeCell ref="D10:E10"/>
    <mergeCell ref="G2:J2"/>
    <mergeCell ref="B9:E9"/>
    <mergeCell ref="B2:E2"/>
    <mergeCell ref="B32:B33"/>
    <mergeCell ref="C32:D33"/>
    <mergeCell ref="H16:I17"/>
    <mergeCell ref="H18:I20"/>
    <mergeCell ref="D16:G16"/>
    <mergeCell ref="D17:G17"/>
    <mergeCell ref="D18:G18"/>
    <mergeCell ref="I22:I2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J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>
      <selection activeCell="E12" sqref="E12"/>
    </sheetView>
  </sheetViews>
  <sheetFormatPr defaultRowHeight="14.25"/>
  <cols>
    <col min="3" max="3" width="10.75" customWidth="1"/>
    <col min="5" max="5" width="11.875" customWidth="1"/>
    <col min="6" max="6" width="2.875" customWidth="1"/>
  </cols>
  <sheetData>
    <row r="2" spans="2:7">
      <c r="B2" s="144" t="s">
        <v>117</v>
      </c>
      <c r="C2" s="144"/>
      <c r="D2" s="147" t="s">
        <v>121</v>
      </c>
      <c r="E2" s="147"/>
    </row>
    <row r="3" spans="2:7">
      <c r="B3" s="144"/>
      <c r="C3" s="144"/>
      <c r="D3" s="147"/>
      <c r="E3" s="147"/>
    </row>
    <row r="4" spans="2:7">
      <c r="B4" s="145" t="s">
        <v>118</v>
      </c>
      <c r="C4" s="145"/>
      <c r="D4" s="145">
        <v>34471.4</v>
      </c>
      <c r="E4" s="145"/>
    </row>
    <row r="5" spans="2:7">
      <c r="B5" s="146" t="s">
        <v>119</v>
      </c>
      <c r="C5" s="146"/>
      <c r="D5" s="146">
        <v>30660.799999999999</v>
      </c>
      <c r="E5" s="146"/>
      <c r="F5" s="72" t="s">
        <v>101</v>
      </c>
      <c r="G5" t="s">
        <v>122</v>
      </c>
    </row>
    <row r="6" spans="2:7">
      <c r="B6" s="145" t="s">
        <v>120</v>
      </c>
      <c r="C6" s="145"/>
      <c r="D6" s="148">
        <v>37422.01</v>
      </c>
      <c r="E6" s="148"/>
    </row>
    <row r="10" spans="2:7">
      <c r="B10" t="s">
        <v>124</v>
      </c>
    </row>
    <row r="11" spans="2:7">
      <c r="B11" s="71" t="s">
        <v>123</v>
      </c>
      <c r="C11" s="73">
        <f>SUM(D5/(SQRT(3)*380*0.92))</f>
        <v>50.635071892360635</v>
      </c>
    </row>
  </sheetData>
  <mergeCells count="8">
    <mergeCell ref="B2:C3"/>
    <mergeCell ref="B4:C4"/>
    <mergeCell ref="B5:C5"/>
    <mergeCell ref="B6:C6"/>
    <mergeCell ref="D2:E3"/>
    <mergeCell ref="D4:E4"/>
    <mergeCell ref="D5:E5"/>
    <mergeCell ref="D6:E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22" zoomScale="130" zoomScaleNormal="130" workbookViewId="0">
      <selection activeCell="G17" sqref="G17"/>
    </sheetView>
  </sheetViews>
  <sheetFormatPr defaultColWidth="9.125" defaultRowHeight="14.25"/>
  <cols>
    <col min="1" max="1" width="19.25" style="61" bestFit="1" customWidth="1"/>
    <col min="2" max="2" width="20.75" style="61" bestFit="1" customWidth="1"/>
    <col min="3" max="3" width="8.875" style="61" customWidth="1"/>
    <col min="4" max="4" width="36.625" style="61" customWidth="1"/>
    <col min="5" max="5" width="35" style="61" customWidth="1"/>
    <col min="6" max="16384" width="9.125" style="61"/>
  </cols>
  <sheetData>
    <row r="1" spans="1:5" ht="60" customHeight="1">
      <c r="A1" s="134" t="s">
        <v>74</v>
      </c>
      <c r="B1" s="134"/>
      <c r="C1" s="58"/>
      <c r="D1" s="59" t="s">
        <v>75</v>
      </c>
      <c r="E1" s="60" t="s">
        <v>76</v>
      </c>
    </row>
    <row r="2" spans="1:5">
      <c r="A2" s="62" t="s">
        <v>77</v>
      </c>
      <c r="B2" s="62" t="s">
        <v>78</v>
      </c>
    </row>
    <row r="3" spans="1:5" ht="15" customHeight="1">
      <c r="A3" s="62" t="s">
        <v>79</v>
      </c>
      <c r="B3" s="62">
        <v>88</v>
      </c>
      <c r="D3" s="149" t="s">
        <v>80</v>
      </c>
      <c r="E3" s="149" t="s">
        <v>81</v>
      </c>
    </row>
    <row r="4" spans="1:5">
      <c r="A4" s="62" t="s">
        <v>82</v>
      </c>
      <c r="B4" s="62">
        <v>75</v>
      </c>
      <c r="D4" s="149"/>
      <c r="E4" s="149"/>
    </row>
    <row r="5" spans="1:5">
      <c r="A5" s="62" t="s">
        <v>83</v>
      </c>
      <c r="B5" s="62">
        <v>66</v>
      </c>
      <c r="D5" s="149"/>
      <c r="E5" s="149"/>
    </row>
    <row r="6" spans="1:5">
      <c r="A6" s="62" t="s">
        <v>84</v>
      </c>
      <c r="B6" s="62">
        <v>59</v>
      </c>
      <c r="D6" s="149"/>
      <c r="E6" s="149"/>
    </row>
    <row r="7" spans="1:5">
      <c r="A7" s="62" t="s">
        <v>85</v>
      </c>
      <c r="B7" s="62">
        <v>52</v>
      </c>
      <c r="D7" s="149"/>
      <c r="E7" s="149"/>
    </row>
    <row r="8" spans="1:5">
      <c r="A8" s="62" t="s">
        <v>86</v>
      </c>
      <c r="B8" s="62">
        <v>45</v>
      </c>
    </row>
    <row r="9" spans="1:5" ht="15" customHeight="1">
      <c r="A9" s="62" t="s">
        <v>87</v>
      </c>
      <c r="B9" s="62">
        <v>40</v>
      </c>
      <c r="D9" s="149" t="s">
        <v>88</v>
      </c>
      <c r="E9" s="149" t="s">
        <v>89</v>
      </c>
    </row>
    <row r="10" spans="1:5">
      <c r="A10" s="62" t="s">
        <v>90</v>
      </c>
      <c r="B10" s="62">
        <v>35</v>
      </c>
      <c r="D10" s="149"/>
      <c r="E10" s="149"/>
    </row>
    <row r="11" spans="1:5">
      <c r="A11" s="62" t="s">
        <v>91</v>
      </c>
      <c r="B11" s="62">
        <v>31</v>
      </c>
      <c r="D11" s="149"/>
      <c r="E11" s="149"/>
    </row>
    <row r="12" spans="1:5">
      <c r="A12" s="62" t="s">
        <v>92</v>
      </c>
      <c r="B12" s="62">
        <v>27</v>
      </c>
      <c r="D12" s="149"/>
      <c r="E12" s="149"/>
    </row>
    <row r="13" spans="1:5">
      <c r="A13" s="62" t="s">
        <v>93</v>
      </c>
      <c r="B13" s="62">
        <v>24</v>
      </c>
    </row>
    <row r="16" spans="1:5" ht="30.75" customHeight="1">
      <c r="A16" s="149" t="s">
        <v>94</v>
      </c>
      <c r="B16" s="149"/>
      <c r="C16" s="149"/>
    </row>
    <row r="17" spans="1:3" ht="42.75">
      <c r="A17" s="62" t="s">
        <v>95</v>
      </c>
      <c r="B17" s="62" t="s">
        <v>96</v>
      </c>
      <c r="C17" s="62" t="s">
        <v>97</v>
      </c>
    </row>
    <row r="18" spans="1:3" ht="57">
      <c r="A18" s="62" t="s">
        <v>98</v>
      </c>
      <c r="B18" s="62" t="s">
        <v>99</v>
      </c>
      <c r="C18" s="62" t="s">
        <v>100</v>
      </c>
    </row>
  </sheetData>
  <mergeCells count="6">
    <mergeCell ref="A16:C16"/>
    <mergeCell ref="A1:B1"/>
    <mergeCell ref="D3:D7"/>
    <mergeCell ref="E3:E7"/>
    <mergeCell ref="D9:D12"/>
    <mergeCell ref="E9:E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Dependencias</vt:lpstr>
      <vt:lpstr>Qtd_minima</vt:lpstr>
      <vt:lpstr>Demanda-Criterios</vt:lpstr>
      <vt:lpstr>Comparações dos Criterios</vt:lpstr>
      <vt:lpstr>Regras</vt:lpstr>
      <vt:lpstr>Qtd_minima!Titulos_de_impressao</vt:lpstr>
    </vt:vector>
  </TitlesOfParts>
  <Company>Cosern.net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 MEDEIROS</dc:creator>
  <cp:lastModifiedBy>HP</cp:lastModifiedBy>
  <cp:lastPrinted>2014-04-13T19:26:33Z</cp:lastPrinted>
  <dcterms:created xsi:type="dcterms:W3CDTF">2014-03-20T15:42:00Z</dcterms:created>
  <dcterms:modified xsi:type="dcterms:W3CDTF">2015-04-29T01:58:43Z</dcterms:modified>
</cp:coreProperties>
</file>