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activeTab="1"/>
  </bookViews>
  <sheets>
    <sheet name="Qtd_minima" sheetId="2" r:id="rId1"/>
    <sheet name="Circuitos" sheetId="4" r:id="rId2"/>
  </sheets>
  <definedNames>
    <definedName name="_xlnm.Print_Titles" localSheetId="0">Qtd_minima!$1:$3</definedName>
  </definedNames>
  <calcPr calcId="144525" iterateDelta="1E-4"/>
</workbook>
</file>

<file path=xl/calcChain.xml><?xml version="1.0" encoding="utf-8"?>
<calcChain xmlns="http://schemas.openxmlformats.org/spreadsheetml/2006/main">
  <c r="A8" i="4" l="1"/>
  <c r="I8" i="2"/>
  <c r="H8" i="2"/>
  <c r="G8" i="2"/>
  <c r="F8" i="2"/>
  <c r="E8" i="2"/>
  <c r="D8" i="2"/>
  <c r="C8" i="2"/>
  <c r="B8" i="2"/>
</calcChain>
</file>

<file path=xl/sharedStrings.xml><?xml version="1.0" encoding="utf-8"?>
<sst xmlns="http://schemas.openxmlformats.org/spreadsheetml/2006/main" count="75" uniqueCount="47">
  <si>
    <t>Descrição</t>
  </si>
  <si>
    <t>TUG</t>
  </si>
  <si>
    <t>TUE</t>
  </si>
  <si>
    <t>INSTALAÇÃO MÍNIMA</t>
  </si>
  <si>
    <t>Dependencias</t>
  </si>
  <si>
    <t>Dimensões</t>
  </si>
  <si>
    <t>Iluminação</t>
  </si>
  <si>
    <t>TUGs</t>
  </si>
  <si>
    <t>TUEs</t>
  </si>
  <si>
    <t>Observação</t>
  </si>
  <si>
    <t>Área (m2)</t>
  </si>
  <si>
    <t>Perímetro (m)</t>
  </si>
  <si>
    <t>Qtd.</t>
  </si>
  <si>
    <t>Potência (VA)</t>
  </si>
  <si>
    <t>Potência(VA)</t>
  </si>
  <si>
    <t>Potência(W)</t>
  </si>
  <si>
    <t>Casa de Máquinas</t>
  </si>
  <si>
    <t>Motores</t>
  </si>
  <si>
    <t>Chuveiro</t>
  </si>
  <si>
    <t>Total</t>
  </si>
  <si>
    <t>-</t>
  </si>
  <si>
    <t>CIRCUITOS DA INSTALAÇÃO</t>
  </si>
  <si>
    <t>Nº do Circuito</t>
  </si>
  <si>
    <t>Secção</t>
  </si>
  <si>
    <t>Pontos de Luz</t>
  </si>
  <si>
    <t>Proteção</t>
  </si>
  <si>
    <t>Fase</t>
  </si>
  <si>
    <t>Quant</t>
  </si>
  <si>
    <t>P (W)</t>
  </si>
  <si>
    <t>A</t>
  </si>
  <si>
    <t>B</t>
  </si>
  <si>
    <t>C</t>
  </si>
  <si>
    <t>Motor 1 Elevador 1</t>
  </si>
  <si>
    <t>Motor 2 Elevador 2</t>
  </si>
  <si>
    <t>Chuveiro BWC</t>
  </si>
  <si>
    <t>Quarto Zelador</t>
  </si>
  <si>
    <t>BWC Zelador</t>
  </si>
  <si>
    <t>Comodo Zelador</t>
  </si>
  <si>
    <t>Maquina de Lavar</t>
  </si>
  <si>
    <t>Corrente  (A)</t>
  </si>
  <si>
    <t>10 Unipolar</t>
  </si>
  <si>
    <t>Balanceamento das Fases</t>
  </si>
  <si>
    <t>6420W</t>
  </si>
  <si>
    <t>6120W</t>
  </si>
  <si>
    <t>6000W</t>
  </si>
  <si>
    <t>15 Unipolar</t>
  </si>
  <si>
    <t>50 Unipolar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</si>
</sst>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6"/>
      <name val="Calibri"/>
      <family val="2"/>
      <charset val="1"/>
    </font>
    <font>
      <b/>
      <sz val="14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AC090"/>
        <bgColor rgb="FFFF99CC"/>
      </patternFill>
    </fill>
    <fill>
      <patternFill patternType="solid">
        <fgColor rgb="FFF2F2F2"/>
        <bgColor rgb="FFFFFFFF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2" borderId="1"/>
  </cellStyleXfs>
  <cellXfs count="41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2" borderId="3" xfId="1" applyFont="1" applyBorder="1" applyAlignment="1" applyProtection="1">
      <alignment horizontal="center" wrapText="1"/>
    </xf>
    <xf numFmtId="2" fontId="0" fillId="2" borderId="3" xfId="1" applyNumberFormat="1" applyFont="1" applyBorder="1" applyAlignment="1" applyProtection="1">
      <alignment horizontal="center" wrapText="1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/>
    </xf>
    <xf numFmtId="0" fontId="0" fillId="2" borderId="3" xfId="0" applyFill="1" applyBorder="1"/>
    <xf numFmtId="0" fontId="0" fillId="2" borderId="3" xfId="1" applyFont="1" applyBorder="1" applyAlignment="1" applyProtection="1">
      <alignment wrapText="1"/>
    </xf>
    <xf numFmtId="0" fontId="2" fillId="2" borderId="5" xfId="1" applyFont="1" applyBorder="1" applyAlignment="1" applyProtection="1">
      <alignment wrapText="1"/>
    </xf>
    <xf numFmtId="2" fontId="2" fillId="2" borderId="5" xfId="1" applyNumberFormat="1" applyFont="1" applyBorder="1" applyAlignment="1" applyProtection="1">
      <alignment horizontal="center" wrapText="1"/>
    </xf>
    <xf numFmtId="0" fontId="2" fillId="2" borderId="5" xfId="1" applyFont="1" applyBorder="1" applyAlignment="1" applyProtection="1">
      <alignment horizont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/>
    </xf>
    <xf numFmtId="0" fontId="0" fillId="4" borderId="0" xfId="0" applyFill="1" applyAlignment="1"/>
    <xf numFmtId="0" fontId="1" fillId="3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Font="1"/>
    <xf numFmtId="0" fontId="0" fillId="4" borderId="0" xfId="0" applyFill="1" applyBorder="1" applyAlignment="1"/>
    <xf numFmtId="0" fontId="5" fillId="2" borderId="3" xfId="1" applyFont="1" applyBorder="1" applyAlignment="1" applyProtection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/>
    <xf numFmtId="0" fontId="3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4" fillId="3" borderId="6" xfId="0" applyFont="1" applyFill="1" applyBorder="1" applyAlignment="1">
      <alignment horizontal="center" vertical="center"/>
    </xf>
  </cellXfs>
  <cellStyles count="2">
    <cellStyle name="Normal" xfId="0" builtinId="0"/>
    <cellStyle name="TableStyleLight1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8"/>
  <sheetViews>
    <sheetView zoomScale="115" zoomScaleNormal="115" workbookViewId="0">
      <pane ySplit="3" topLeftCell="A4" activePane="bottomLeft" state="frozen"/>
      <selection pane="bottomLeft" activeCell="E16" sqref="E16"/>
    </sheetView>
  </sheetViews>
  <sheetFormatPr defaultRowHeight="15" x14ac:dyDescent="0.25"/>
  <cols>
    <col min="1" max="1" width="20.7109375"/>
    <col min="2" max="2" width="9.85546875"/>
    <col min="3" max="3" width="13.140625"/>
    <col min="4" max="4" width="5.7109375"/>
    <col min="5" max="5" width="13.28515625"/>
    <col min="6" max="6" width="5.7109375"/>
    <col min="7" max="7" width="12.7109375"/>
    <col min="8" max="8" width="5.7109375"/>
    <col min="9" max="9" width="12"/>
    <col min="10" max="10" width="23.7109375"/>
    <col min="11" max="1025" width="9.140625" style="3"/>
  </cols>
  <sheetData>
    <row r="1" spans="1:10" ht="30.75" customHeight="1" x14ac:dyDescent="0.25">
      <c r="A1" s="31" t="s">
        <v>3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25">
      <c r="A2" s="32" t="s">
        <v>4</v>
      </c>
      <c r="B2" s="33" t="s">
        <v>5</v>
      </c>
      <c r="C2" s="33"/>
      <c r="D2" s="34" t="s">
        <v>6</v>
      </c>
      <c r="E2" s="34"/>
      <c r="F2" s="34" t="s">
        <v>7</v>
      </c>
      <c r="G2" s="34"/>
      <c r="H2" s="34" t="s">
        <v>8</v>
      </c>
      <c r="I2" s="34"/>
      <c r="J2" s="34" t="s">
        <v>9</v>
      </c>
    </row>
    <row r="3" spans="1:10" x14ac:dyDescent="0.25">
      <c r="A3" s="32"/>
      <c r="B3" s="1" t="s">
        <v>10</v>
      </c>
      <c r="C3" s="1" t="s">
        <v>11</v>
      </c>
      <c r="D3" s="1" t="s">
        <v>12</v>
      </c>
      <c r="E3" s="1" t="s">
        <v>13</v>
      </c>
      <c r="F3" s="1" t="s">
        <v>12</v>
      </c>
      <c r="G3" s="1" t="s">
        <v>14</v>
      </c>
      <c r="H3" s="2" t="s">
        <v>12</v>
      </c>
      <c r="I3" s="2" t="s">
        <v>15</v>
      </c>
      <c r="J3" s="34"/>
    </row>
    <row r="4" spans="1:10" x14ac:dyDescent="0.25">
      <c r="A4" s="22" t="s">
        <v>16</v>
      </c>
      <c r="B4" s="4">
        <v>11.24</v>
      </c>
      <c r="C4" s="5">
        <v>13.7</v>
      </c>
      <c r="D4" s="4">
        <v>2</v>
      </c>
      <c r="E4" s="4">
        <v>200</v>
      </c>
      <c r="F4" s="4">
        <v>3</v>
      </c>
      <c r="G4" s="4">
        <v>300</v>
      </c>
      <c r="H4" s="6">
        <v>2</v>
      </c>
      <c r="I4" s="7">
        <v>22080</v>
      </c>
      <c r="J4" s="8" t="s">
        <v>17</v>
      </c>
    </row>
    <row r="5" spans="1:10" x14ac:dyDescent="0.25">
      <c r="A5" s="22" t="s">
        <v>35</v>
      </c>
      <c r="B5" s="4">
        <v>5.05</v>
      </c>
      <c r="C5" s="5">
        <v>9.0299999999999994</v>
      </c>
      <c r="D5" s="4">
        <v>1</v>
      </c>
      <c r="E5" s="4">
        <v>100</v>
      </c>
      <c r="F5" s="4">
        <v>2</v>
      </c>
      <c r="G5" s="4">
        <v>200</v>
      </c>
      <c r="H5" s="6"/>
      <c r="I5" s="7"/>
      <c r="J5" s="9"/>
    </row>
    <row r="6" spans="1:10" x14ac:dyDescent="0.25">
      <c r="A6" s="10" t="s">
        <v>36</v>
      </c>
      <c r="B6" s="4">
        <v>2.4700000000000002</v>
      </c>
      <c r="C6" s="4">
        <v>6.3</v>
      </c>
      <c r="D6" s="4">
        <v>1</v>
      </c>
      <c r="E6" s="4">
        <v>100</v>
      </c>
      <c r="F6" s="4">
        <v>1</v>
      </c>
      <c r="G6" s="4">
        <v>100</v>
      </c>
      <c r="H6" s="6">
        <v>1</v>
      </c>
      <c r="I6" s="7">
        <v>6000</v>
      </c>
      <c r="J6" s="8" t="s">
        <v>18</v>
      </c>
    </row>
    <row r="7" spans="1:10" x14ac:dyDescent="0.25">
      <c r="A7" s="10" t="s">
        <v>37</v>
      </c>
      <c r="B7" s="4">
        <v>13.4</v>
      </c>
      <c r="C7" s="4">
        <v>18.3</v>
      </c>
      <c r="D7" s="4">
        <v>2</v>
      </c>
      <c r="E7" s="4">
        <v>220</v>
      </c>
      <c r="F7" s="4">
        <v>3</v>
      </c>
      <c r="G7" s="4">
        <v>800</v>
      </c>
      <c r="H7" s="6"/>
      <c r="I7" s="7">
        <v>660</v>
      </c>
      <c r="J7" s="7" t="s">
        <v>38</v>
      </c>
    </row>
    <row r="8" spans="1:10" x14ac:dyDescent="0.25">
      <c r="A8" s="11" t="s">
        <v>19</v>
      </c>
      <c r="B8" s="12">
        <f t="shared" ref="B8:I8" si="0">SUM(B4:B7)</f>
        <v>32.159999999999997</v>
      </c>
      <c r="C8" s="12">
        <f t="shared" si="0"/>
        <v>47.33</v>
      </c>
      <c r="D8" s="13">
        <f t="shared" si="0"/>
        <v>6</v>
      </c>
      <c r="E8" s="13">
        <f t="shared" si="0"/>
        <v>620</v>
      </c>
      <c r="F8" s="13">
        <f t="shared" si="0"/>
        <v>9</v>
      </c>
      <c r="G8" s="13">
        <f t="shared" si="0"/>
        <v>1400</v>
      </c>
      <c r="H8" s="14">
        <f t="shared" si="0"/>
        <v>3</v>
      </c>
      <c r="I8" s="15">
        <f t="shared" si="0"/>
        <v>28740</v>
      </c>
      <c r="J8" s="16" t="s">
        <v>20</v>
      </c>
    </row>
  </sheetData>
  <mergeCells count="7">
    <mergeCell ref="A1:J1"/>
    <mergeCell ref="A2:A3"/>
    <mergeCell ref="B2:C2"/>
    <mergeCell ref="D2:E2"/>
    <mergeCell ref="F2:G2"/>
    <mergeCell ref="H2:I2"/>
    <mergeCell ref="J2:J3"/>
  </mergeCells>
  <printOptions horizontalCentered="1" verticalCentered="1"/>
  <pageMargins left="0.39374999999999999" right="0.39374999999999999" top="0.59027777777777801" bottom="0.59027777777777801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4"/>
  <sheetViews>
    <sheetView tabSelected="1" zoomScaleNormal="100" workbookViewId="0">
      <pane ySplit="2" topLeftCell="A3" activePane="bottomLeft" state="frozen"/>
      <selection pane="bottomLeft" activeCell="I13" sqref="I13"/>
    </sheetView>
  </sheetViews>
  <sheetFormatPr defaultRowHeight="15" x14ac:dyDescent="0.25"/>
  <cols>
    <col min="1" max="1" width="8.28515625"/>
    <col min="2" max="2" width="7"/>
    <col min="3" max="3" width="9.5703125"/>
    <col min="4" max="4" width="7.7109375"/>
    <col min="5" max="5" width="9.28515625"/>
    <col min="6" max="6" width="7.7109375"/>
    <col min="7" max="8" width="9.42578125"/>
    <col min="9" max="9" width="12.5703125" customWidth="1"/>
    <col min="10" max="10" width="8.85546875"/>
    <col min="11" max="11" width="61.85546875"/>
    <col min="15" max="1025" width="9.140625" style="17"/>
  </cols>
  <sheetData>
    <row r="1" spans="1:14" ht="30.75" customHeight="1" x14ac:dyDescent="0.25">
      <c r="A1" s="40" t="s">
        <v>21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35"/>
      <c r="M1" s="35"/>
      <c r="N1" s="35"/>
    </row>
    <row r="2" spans="1:14" ht="20.25" customHeight="1" x14ac:dyDescent="0.25">
      <c r="A2" s="36" t="s">
        <v>22</v>
      </c>
      <c r="B2" s="34" t="s">
        <v>23</v>
      </c>
      <c r="C2" s="36" t="s">
        <v>39</v>
      </c>
      <c r="D2" s="34" t="s">
        <v>24</v>
      </c>
      <c r="E2" s="34"/>
      <c r="F2" s="34" t="s">
        <v>1</v>
      </c>
      <c r="G2" s="34"/>
      <c r="H2" s="2" t="s">
        <v>2</v>
      </c>
      <c r="I2" s="34" t="s">
        <v>25</v>
      </c>
      <c r="J2" s="34" t="s">
        <v>26</v>
      </c>
      <c r="K2" s="33" t="s">
        <v>0</v>
      </c>
      <c r="L2" s="35"/>
      <c r="M2" s="35"/>
      <c r="N2" s="35"/>
    </row>
    <row r="3" spans="1:14" ht="27" customHeight="1" x14ac:dyDescent="0.25">
      <c r="A3" s="36"/>
      <c r="B3" s="34"/>
      <c r="C3" s="36"/>
      <c r="D3" s="18" t="s">
        <v>27</v>
      </c>
      <c r="E3" s="2" t="s">
        <v>28</v>
      </c>
      <c r="F3" s="2" t="s">
        <v>27</v>
      </c>
      <c r="G3" s="2" t="s">
        <v>28</v>
      </c>
      <c r="H3" s="2" t="s">
        <v>28</v>
      </c>
      <c r="I3" s="34"/>
      <c r="J3" s="34"/>
      <c r="K3" s="33"/>
      <c r="L3" s="29"/>
      <c r="M3" s="29"/>
      <c r="N3" s="29"/>
    </row>
    <row r="4" spans="1:14" ht="22.5" customHeight="1" x14ac:dyDescent="0.25">
      <c r="A4" s="19">
        <v>1</v>
      </c>
      <c r="B4" s="23">
        <v>1.5</v>
      </c>
      <c r="D4" s="24">
        <v>6</v>
      </c>
      <c r="E4" s="24">
        <v>600</v>
      </c>
      <c r="F4" s="20"/>
      <c r="G4" s="20"/>
      <c r="I4" t="s">
        <v>40</v>
      </c>
      <c r="J4" s="25" t="s">
        <v>30</v>
      </c>
      <c r="K4" s="20" t="s">
        <v>6</v>
      </c>
      <c r="L4" s="30"/>
      <c r="M4" s="30"/>
      <c r="N4" s="30"/>
    </row>
    <row r="5" spans="1:14" x14ac:dyDescent="0.25">
      <c r="A5" s="19">
        <v>2</v>
      </c>
      <c r="B5" s="23">
        <v>2.5</v>
      </c>
      <c r="D5" s="24" t="s">
        <v>20</v>
      </c>
      <c r="E5" s="24" t="s">
        <v>20</v>
      </c>
      <c r="F5" s="25">
        <v>9</v>
      </c>
      <c r="G5" s="26">
        <v>900</v>
      </c>
      <c r="H5" s="24" t="s">
        <v>20</v>
      </c>
      <c r="I5" t="s">
        <v>45</v>
      </c>
      <c r="J5" s="25" t="s">
        <v>29</v>
      </c>
      <c r="K5" s="20" t="s">
        <v>7</v>
      </c>
      <c r="L5" s="21"/>
      <c r="M5" s="21"/>
      <c r="N5" s="21"/>
    </row>
    <row r="6" spans="1:14" x14ac:dyDescent="0.25">
      <c r="A6" s="19">
        <v>3</v>
      </c>
      <c r="B6" s="27">
        <v>6</v>
      </c>
      <c r="D6" s="24" t="s">
        <v>20</v>
      </c>
      <c r="E6" s="24" t="s">
        <v>20</v>
      </c>
      <c r="F6" s="24" t="s">
        <v>20</v>
      </c>
      <c r="G6" s="24" t="s">
        <v>20</v>
      </c>
      <c r="H6" s="24">
        <v>5520</v>
      </c>
      <c r="I6" t="s">
        <v>46</v>
      </c>
      <c r="J6" s="24" t="s">
        <v>29</v>
      </c>
      <c r="K6" s="20" t="s">
        <v>32</v>
      </c>
      <c r="L6" s="21"/>
      <c r="M6" s="21"/>
      <c r="N6" s="21"/>
    </row>
    <row r="7" spans="1:14" x14ac:dyDescent="0.25">
      <c r="A7" s="19">
        <v>4</v>
      </c>
      <c r="B7" s="27">
        <v>6</v>
      </c>
      <c r="D7" s="24" t="s">
        <v>20</v>
      </c>
      <c r="E7" s="24" t="s">
        <v>20</v>
      </c>
      <c r="F7" s="24" t="s">
        <v>20</v>
      </c>
      <c r="G7" s="24" t="s">
        <v>20</v>
      </c>
      <c r="H7" s="24">
        <v>5520</v>
      </c>
      <c r="I7" t="s">
        <v>46</v>
      </c>
      <c r="J7" s="24" t="s">
        <v>30</v>
      </c>
      <c r="K7" s="20" t="s">
        <v>33</v>
      </c>
      <c r="L7" s="21"/>
      <c r="M7" s="21"/>
      <c r="N7" s="21"/>
    </row>
    <row r="8" spans="1:14" x14ac:dyDescent="0.25">
      <c r="A8" s="19">
        <f>A7+1</f>
        <v>5</v>
      </c>
      <c r="B8" s="27">
        <v>6</v>
      </c>
      <c r="D8" s="24" t="s">
        <v>20</v>
      </c>
      <c r="E8" s="24" t="s">
        <v>20</v>
      </c>
      <c r="F8" s="24" t="s">
        <v>20</v>
      </c>
      <c r="G8" s="20"/>
      <c r="H8" s="25">
        <v>6000</v>
      </c>
      <c r="I8" t="s">
        <v>46</v>
      </c>
      <c r="J8" s="25" t="s">
        <v>31</v>
      </c>
      <c r="K8" s="20" t="s">
        <v>34</v>
      </c>
      <c r="L8" s="21"/>
      <c r="M8" s="21"/>
      <c r="N8" s="21"/>
    </row>
    <row r="9" spans="1:14" x14ac:dyDescent="0.25">
      <c r="B9" s="23"/>
    </row>
    <row r="10" spans="1:14" x14ac:dyDescent="0.25">
      <c r="B10" s="23"/>
    </row>
    <row r="11" spans="1:14" ht="14.25" customHeight="1" x14ac:dyDescent="0.25">
      <c r="B11" s="37" t="s">
        <v>41</v>
      </c>
      <c r="C11" s="37"/>
      <c r="D11" s="37"/>
    </row>
    <row r="12" spans="1:14" x14ac:dyDescent="0.25">
      <c r="B12" s="28" t="s">
        <v>29</v>
      </c>
      <c r="C12" s="38" t="s">
        <v>42</v>
      </c>
      <c r="D12" s="38"/>
    </row>
    <row r="13" spans="1:14" x14ac:dyDescent="0.25">
      <c r="B13" s="28" t="s">
        <v>30</v>
      </c>
      <c r="C13" s="38" t="s">
        <v>43</v>
      </c>
      <c r="D13" s="38"/>
    </row>
    <row r="14" spans="1:14" x14ac:dyDescent="0.25">
      <c r="B14" s="28" t="s">
        <v>31</v>
      </c>
      <c r="C14" s="39" t="s">
        <v>44</v>
      </c>
      <c r="D14" s="39"/>
    </row>
  </sheetData>
  <mergeCells count="14">
    <mergeCell ref="B11:D11"/>
    <mergeCell ref="C12:D12"/>
    <mergeCell ref="C13:D13"/>
    <mergeCell ref="C14:D14"/>
    <mergeCell ref="A1:K1"/>
    <mergeCell ref="L1:N2"/>
    <mergeCell ref="A2:A3"/>
    <mergeCell ref="B2:B3"/>
    <mergeCell ref="C2:C3"/>
    <mergeCell ref="D2:E2"/>
    <mergeCell ref="F2:G2"/>
    <mergeCell ref="I2:I3"/>
    <mergeCell ref="J2:J3"/>
    <mergeCell ref="K2:K3"/>
  </mergeCells>
  <printOptions horizontalCentered="1" verticalCentered="1"/>
  <pageMargins left="0.39374999999999999" right="0.39374999999999999" top="0.59027777777777801" bottom="0.59027777777777801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Qtd_minima</vt:lpstr>
      <vt:lpstr>Circuitos</vt:lpstr>
      <vt:lpstr>Qtd_minima!Titulos_de_impressao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ARAUJO MEDEIROS</dc:creator>
  <cp:lastModifiedBy>HP</cp:lastModifiedBy>
  <cp:revision>0</cp:revision>
  <cp:lastPrinted>2014-04-13T19:26:33Z</cp:lastPrinted>
  <dcterms:created xsi:type="dcterms:W3CDTF">2014-03-20T15:42:00Z</dcterms:created>
  <dcterms:modified xsi:type="dcterms:W3CDTF">2015-06-03T22:26:39Z</dcterms:modified>
</cp:coreProperties>
</file>